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jects" sheetId="2" state="visible" r:id="rId4"/>
    <sheet name="Job_Cost_Detail" sheetId="3" state="visible" r:id="rId5"/>
    <sheet name="Billings" sheetId="4" state="visible" r:id="rId6"/>
    <sheet name="Change_Orders" sheetId="5" state="visible" r:id="rId7"/>
    <sheet name="WIP_Schedu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<sst xmlns="http://schemas.openxmlformats.org/spreadsheetml/2006/main" count="1011" uniqueCount="89">
  <si>
    <t xml:space="preserve">Northgate Constructors Ltd. — Synthetic Corporate Finance Dataset</t>
  </si>
  <si>
    <t xml:space="preserve">PURPOSE: Practice / portfolio dataset for building a WIP &amp; project financial dashboard in Power BI.</t>
  </si>
  <si>
    <t xml:space="preserve">ALL DATA IS FICTIONAL. Generated for demonstration purposes — no real company, client, or project data.</t>
  </si>
  <si>
    <t xml:space="preserve">SHEETS:</t>
  </si>
  <si>
    <t xml:space="preserve">  Projects — master list: contract values, revised values (orig + approved COs), current cost estimates</t>
  </si>
  <si>
    <t xml:space="preserve">  Job_Cost_Detail — monthly costs by project and category (Labour / Materials / Subcontracts / Equipment)</t>
  </si>
  <si>
    <t xml:space="preserve">  Billings — monthly progress billings by project</t>
  </si>
  <si>
    <t xml:space="preserve">  Change_Orders — CO register with Approved / Pending status (only Approved COs revise contract value)</t>
  </si>
  <si>
    <t xml:space="preserve">  WIP_Schedule — live percentage-of-completion schedule built from the sheets above (all formulas)</t>
  </si>
  <si>
    <t xml:space="preserve">KEY CONCEPTS (percentage-of-completion method):</t>
  </si>
  <si>
    <t xml:space="preserve">  % Complete = Cost to Date / Estimated Total Cost</t>
  </si>
  <si>
    <t xml:space="preserve">  Earned Revenue = % Complete x Revised Contract Value</t>
  </si>
  <si>
    <t xml:space="preserve">  Over/(Under) Billing = Billed to Date - Earned Revenue  (over = liability, under = asset)</t>
  </si>
  <si>
    <t xml:space="preserve">  Margin fade = Est. GP% falling vs original — watch P-106 Larkspur (thin margin) and P-104 (negative billing bias)</t>
  </si>
  <si>
    <t xml:space="preserve">DASHBOARD IDEAS: WIP table with drill-down · GP% trend by project · over/under billing waterfall ·</t>
  </si>
  <si>
    <t xml:space="preserve">  approved vs pending CO exposure · cost mix by category · revenue by client / sector / district</t>
  </si>
  <si>
    <t xml:space="preserve">Project ID</t>
  </si>
  <si>
    <t xml:space="preserve">Project Name</t>
  </si>
  <si>
    <t xml:space="preserve">Client</t>
  </si>
  <si>
    <t xml:space="preserve">Sector</t>
  </si>
  <si>
    <t xml:space="preserve">District</t>
  </si>
  <si>
    <t xml:space="preserve">Original Contract Value</t>
  </si>
  <si>
    <t xml:space="preserve">Approved Change Orders</t>
  </si>
  <si>
    <t xml:space="preserve">Revised Contract Value</t>
  </si>
  <si>
    <t xml:space="preserve">Estimated Total Cost (Current)</t>
  </si>
  <si>
    <t xml:space="preserve">P-101</t>
  </si>
  <si>
    <t xml:space="preserve">Riverbend Water Treatment Expansion</t>
  </si>
  <si>
    <t xml:space="preserve">City of Meadowvale</t>
  </si>
  <si>
    <t xml:space="preserve">Civil</t>
  </si>
  <si>
    <t xml:space="preserve">Prairies</t>
  </si>
  <si>
    <t xml:space="preserve">P-102</t>
  </si>
  <si>
    <t xml:space="preserve">Aurora Logistics Distribution Centre</t>
  </si>
  <si>
    <t xml:space="preserve">NorthStar Logistics</t>
  </si>
  <si>
    <t xml:space="preserve">Buildings</t>
  </si>
  <si>
    <t xml:space="preserve">P-103</t>
  </si>
  <si>
    <t xml:space="preserve">Kestrel Ridge Wind Farm BOP</t>
  </si>
  <si>
    <t xml:space="preserve">Kestrel Renewables</t>
  </si>
  <si>
    <t xml:space="preserve">Industrial</t>
  </si>
  <si>
    <t xml:space="preserve">P-104</t>
  </si>
  <si>
    <t xml:space="preserve">St. Bridget Hospital Renovation Ph2</t>
  </si>
  <si>
    <t xml:space="preserve">Vantage Health Partners</t>
  </si>
  <si>
    <t xml:space="preserve">Mountain</t>
  </si>
  <si>
    <t xml:space="preserve">P-105</t>
  </si>
  <si>
    <t xml:space="preserve">Coyote Flats Gas Processing Module</t>
  </si>
  <si>
    <t xml:space="preserve">TriPeak Midstream</t>
  </si>
  <si>
    <t xml:space="preserve">P-106</t>
  </si>
  <si>
    <t xml:space="preserve">Larkspur Transit Garage</t>
  </si>
  <si>
    <t xml:space="preserve">Metro Transit Authority</t>
  </si>
  <si>
    <t xml:space="preserve">Pacific</t>
  </si>
  <si>
    <t xml:space="preserve">P-107</t>
  </si>
  <si>
    <t xml:space="preserve">Meridian Office Tower Fit-Out</t>
  </si>
  <si>
    <t xml:space="preserve">Meridian Properties</t>
  </si>
  <si>
    <t xml:space="preserve">P-108</t>
  </si>
  <si>
    <t xml:space="preserve">Signal Hill Substation Upgrade</t>
  </si>
  <si>
    <t xml:space="preserve">Prairie Grid Corp</t>
  </si>
  <si>
    <t xml:space="preserve">Month End</t>
  </si>
  <si>
    <t xml:space="preserve">Cost Category</t>
  </si>
  <si>
    <t xml:space="preserve">Amount</t>
  </si>
  <si>
    <t xml:space="preserve">Labour</t>
  </si>
  <si>
    <t xml:space="preserve">Materials</t>
  </si>
  <si>
    <t xml:space="preserve">Subcontracts</t>
  </si>
  <si>
    <t xml:space="preserve">Equipment</t>
  </si>
  <si>
    <t xml:space="preserve">Amount Billed</t>
  </si>
  <si>
    <t xml:space="preserve">CO #</t>
  </si>
  <si>
    <t xml:space="preserve">Date</t>
  </si>
  <si>
    <t xml:space="preserve">Description</t>
  </si>
  <si>
    <t xml:space="preserve">Status</t>
  </si>
  <si>
    <t xml:space="preserve">CO-01</t>
  </si>
  <si>
    <t xml:space="preserve">Added electrical scope</t>
  </si>
  <si>
    <t xml:space="preserve">Approved</t>
  </si>
  <si>
    <t xml:space="preserve">CO-02</t>
  </si>
  <si>
    <t xml:space="preserve">Differing site conditions</t>
  </si>
  <si>
    <t xml:space="preserve">CO-03</t>
  </si>
  <si>
    <t xml:space="preserve">Pending</t>
  </si>
  <si>
    <t xml:space="preserve">CO-04</t>
  </si>
  <si>
    <t xml:space="preserve">Design revision</t>
  </si>
  <si>
    <t xml:space="preserve">Owner-directed scope addition</t>
  </si>
  <si>
    <t xml:space="preserve">Schedule acceleration</t>
  </si>
  <si>
    <t xml:space="preserve">Est. Total Cost</t>
  </si>
  <si>
    <t xml:space="preserve">Cost to Date</t>
  </si>
  <si>
    <t xml:space="preserve">% Complete</t>
  </si>
  <si>
    <t xml:space="preserve">Earned Revenue</t>
  </si>
  <si>
    <t xml:space="preserve">Billed to Date</t>
  </si>
  <si>
    <t xml:space="preserve">Over/(Under) Billing</t>
  </si>
  <si>
    <t xml:space="preserve">Est. Gross Profit</t>
  </si>
  <si>
    <t xml:space="preserve">Est. GP %</t>
  </si>
  <si>
    <t xml:space="preserve">Cost to Complete</t>
  </si>
  <si>
    <t xml:space="preserve">TOTAL</t>
  </si>
  <si>
    <t xml:space="preserve">All formulas — nothing hardcoded. Source data: Projects / Job_Cost_Detail / Billings / Change_Orders sheets.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</si>
</sst>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yyyy\-mm\-dd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8" min="6" style="0" width="20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4" t="n">
        <v>48500000</v>
      </c>
      <c r="G2" s="5" t="n">
        <f aca="false">SUMIFS(Change_Orders!F:F,Change_Orders!A:A,A2,Change_Orders!E:E,"Approved")</f>
        <v>0</v>
      </c>
      <c r="H2" s="5" t="n">
        <f aca="false">F2+G2</f>
        <v>48500000</v>
      </c>
      <c r="I2" s="4" t="n">
        <v>44620000</v>
      </c>
    </row>
    <row r="3" customFormat="false" ht="15" hidden="false" customHeight="false" outlineLevel="0" collapsed="false">
      <c r="A3" s="2" t="s">
        <v>30</v>
      </c>
      <c r="B3" s="2" t="s">
        <v>31</v>
      </c>
      <c r="C3" s="2" t="s">
        <v>32</v>
      </c>
      <c r="D3" s="2" t="s">
        <v>33</v>
      </c>
      <c r="E3" s="2" t="s">
        <v>29</v>
      </c>
      <c r="F3" s="4" t="n">
        <v>23400000</v>
      </c>
      <c r="G3" s="5" t="n">
        <f aca="false">SUMIFS(Change_Orders!F:F,Change_Orders!A:A,A3,Change_Orders!E:E,"Approved")</f>
        <v>1199000</v>
      </c>
      <c r="H3" s="5" t="n">
        <f aca="false">F3+G3</f>
        <v>24599000</v>
      </c>
      <c r="I3" s="4" t="n">
        <v>22877000</v>
      </c>
    </row>
    <row r="4" customFormat="false" ht="15" hidden="false" customHeight="false" outlineLevel="0" collapsed="false">
      <c r="A4" s="2" t="s">
        <v>34</v>
      </c>
      <c r="B4" s="2" t="s">
        <v>35</v>
      </c>
      <c r="C4" s="2" t="s">
        <v>36</v>
      </c>
      <c r="D4" s="2" t="s">
        <v>37</v>
      </c>
      <c r="E4" s="2" t="s">
        <v>29</v>
      </c>
      <c r="F4" s="4" t="n">
        <v>86000000</v>
      </c>
      <c r="G4" s="5" t="n">
        <f aca="false">SUMIFS(Change_Orders!F:F,Change_Orders!A:A,A4,Change_Orders!E:E,"Approved")</f>
        <v>0</v>
      </c>
      <c r="H4" s="5" t="n">
        <f aca="false">F4+G4</f>
        <v>86000000</v>
      </c>
      <c r="I4" s="4" t="n">
        <v>80840000</v>
      </c>
    </row>
    <row r="5" customFormat="false" ht="15" hidden="false" customHeight="false" outlineLevel="0" collapsed="false">
      <c r="A5" s="2" t="s">
        <v>38</v>
      </c>
      <c r="B5" s="2" t="s">
        <v>39</v>
      </c>
      <c r="C5" s="2" t="s">
        <v>40</v>
      </c>
      <c r="D5" s="2" t="s">
        <v>33</v>
      </c>
      <c r="E5" s="2" t="s">
        <v>41</v>
      </c>
      <c r="F5" s="4" t="n">
        <v>31750000</v>
      </c>
      <c r="G5" s="5" t="n">
        <f aca="false">SUMIFS(Change_Orders!F:F,Change_Orders!A:A,A5,Change_Orders!E:E,"Approved")</f>
        <v>0</v>
      </c>
      <c r="H5" s="5" t="n">
        <f aca="false">F5+G5</f>
        <v>31750000</v>
      </c>
      <c r="I5" s="4" t="n">
        <v>28892000</v>
      </c>
    </row>
    <row r="6" customFormat="false" ht="15" hidden="false" customHeight="false" outlineLevel="0" collapsed="false">
      <c r="A6" s="2" t="s">
        <v>42</v>
      </c>
      <c r="B6" s="2" t="s">
        <v>43</v>
      </c>
      <c r="C6" s="2" t="s">
        <v>44</v>
      </c>
      <c r="D6" s="2" t="s">
        <v>37</v>
      </c>
      <c r="E6" s="2" t="s">
        <v>41</v>
      </c>
      <c r="F6" s="4" t="n">
        <v>112000000</v>
      </c>
      <c r="G6" s="5" t="n">
        <f aca="false">SUMIFS(Change_Orders!F:F,Change_Orders!A:A,A6,Change_Orders!E:E,"Approved")</f>
        <v>6424000</v>
      </c>
      <c r="H6" s="5" t="n">
        <f aca="false">F6+G6</f>
        <v>118424000</v>
      </c>
      <c r="I6" s="4" t="n">
        <v>112503000</v>
      </c>
    </row>
    <row r="7" customFormat="false" ht="15" hidden="false" customHeight="false" outlineLevel="0" collapsed="false">
      <c r="A7" s="2" t="s">
        <v>45</v>
      </c>
      <c r="B7" s="2" t="s">
        <v>46</v>
      </c>
      <c r="C7" s="2" t="s">
        <v>47</v>
      </c>
      <c r="D7" s="2" t="s">
        <v>28</v>
      </c>
      <c r="E7" s="2" t="s">
        <v>48</v>
      </c>
      <c r="F7" s="4" t="n">
        <v>19800000</v>
      </c>
      <c r="G7" s="5" t="n">
        <f aca="false">SUMIFS(Change_Orders!F:F,Change_Orders!A:A,A7,Change_Orders!E:E,"Approved")</f>
        <v>1346000</v>
      </c>
      <c r="H7" s="5" t="n">
        <f aca="false">F7+G7</f>
        <v>21146000</v>
      </c>
      <c r="I7" s="4" t="n">
        <v>20723000</v>
      </c>
    </row>
    <row r="8" customFormat="false" ht="15" hidden="false" customHeight="false" outlineLevel="0" collapsed="false">
      <c r="A8" s="2" t="s">
        <v>49</v>
      </c>
      <c r="B8" s="2" t="s">
        <v>50</v>
      </c>
      <c r="C8" s="2" t="s">
        <v>51</v>
      </c>
      <c r="D8" s="2" t="s">
        <v>33</v>
      </c>
      <c r="E8" s="2" t="s">
        <v>48</v>
      </c>
      <c r="F8" s="4" t="n">
        <v>12600000</v>
      </c>
      <c r="G8" s="5" t="n">
        <f aca="false">SUMIFS(Change_Orders!F:F,Change_Orders!A:A,A8,Change_Orders!E:E,"Approved")</f>
        <v>411000</v>
      </c>
      <c r="H8" s="5" t="n">
        <f aca="false">F8+G8</f>
        <v>13011000</v>
      </c>
      <c r="I8" s="4" t="n">
        <v>11450000</v>
      </c>
    </row>
    <row r="9" customFormat="false" ht="15" hidden="false" customHeight="false" outlineLevel="0" collapsed="false">
      <c r="A9" s="2" t="s">
        <v>52</v>
      </c>
      <c r="B9" s="2" t="s">
        <v>53</v>
      </c>
      <c r="C9" s="2" t="s">
        <v>54</v>
      </c>
      <c r="D9" s="2" t="s">
        <v>37</v>
      </c>
      <c r="E9" s="2" t="s">
        <v>29</v>
      </c>
      <c r="F9" s="4" t="n">
        <v>27300000</v>
      </c>
      <c r="G9" s="5" t="n">
        <f aca="false">SUMIFS(Change_Orders!F:F,Change_Orders!A:A,A9,Change_Orders!E:E,"Approved")</f>
        <v>0</v>
      </c>
      <c r="H9" s="5" t="n">
        <f aca="false">F9+G9</f>
        <v>27300000</v>
      </c>
      <c r="I9" s="4" t="n">
        <v>25116000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55</v>
      </c>
      <c r="B1" s="3" t="s">
        <v>16</v>
      </c>
      <c r="C1" s="3" t="s">
        <v>56</v>
      </c>
      <c r="D1" s="3" t="s">
        <v>57</v>
      </c>
    </row>
    <row r="2" customFormat="false" ht="15" hidden="false" customHeight="false" outlineLevel="0" collapsed="false">
      <c r="A2" s="6" t="n">
        <v>45866</v>
      </c>
      <c r="B2" s="2" t="s">
        <v>25</v>
      </c>
      <c r="C2" s="2" t="s">
        <v>58</v>
      </c>
      <c r="D2" s="4" t="n">
        <v>606568</v>
      </c>
    </row>
    <row r="3" customFormat="false" ht="15" hidden="false" customHeight="false" outlineLevel="0" collapsed="false">
      <c r="A3" s="6" t="n">
        <v>45866</v>
      </c>
      <c r="B3" s="2" t="s">
        <v>25</v>
      </c>
      <c r="C3" s="2" t="s">
        <v>59</v>
      </c>
      <c r="D3" s="4" t="n">
        <v>522598</v>
      </c>
    </row>
    <row r="4" customFormat="false" ht="15" hidden="false" customHeight="false" outlineLevel="0" collapsed="false">
      <c r="A4" s="6" t="n">
        <v>45866</v>
      </c>
      <c r="B4" s="2" t="s">
        <v>25</v>
      </c>
      <c r="C4" s="2" t="s">
        <v>60</v>
      </c>
      <c r="D4" s="4" t="n">
        <v>337902</v>
      </c>
    </row>
    <row r="5" customFormat="false" ht="15" hidden="false" customHeight="false" outlineLevel="0" collapsed="false">
      <c r="A5" s="6" t="n">
        <v>45866</v>
      </c>
      <c r="B5" s="2" t="s">
        <v>25</v>
      </c>
      <c r="C5" s="2" t="s">
        <v>61</v>
      </c>
      <c r="D5" s="4" t="n">
        <v>152722</v>
      </c>
    </row>
    <row r="6" customFormat="false" ht="15" hidden="false" customHeight="false" outlineLevel="0" collapsed="false">
      <c r="A6" s="6" t="n">
        <v>45897</v>
      </c>
      <c r="B6" s="2" t="s">
        <v>25</v>
      </c>
      <c r="C6" s="2" t="s">
        <v>58</v>
      </c>
      <c r="D6" s="4" t="n">
        <v>838626</v>
      </c>
    </row>
    <row r="7" customFormat="false" ht="15" hidden="false" customHeight="false" outlineLevel="0" collapsed="false">
      <c r="A7" s="6" t="n">
        <v>45897</v>
      </c>
      <c r="B7" s="2" t="s">
        <v>25</v>
      </c>
      <c r="C7" s="2" t="s">
        <v>59</v>
      </c>
      <c r="D7" s="4" t="n">
        <v>806004</v>
      </c>
    </row>
    <row r="8" customFormat="false" ht="15" hidden="false" customHeight="false" outlineLevel="0" collapsed="false">
      <c r="A8" s="6" t="n">
        <v>45897</v>
      </c>
      <c r="B8" s="2" t="s">
        <v>25</v>
      </c>
      <c r="C8" s="2" t="s">
        <v>60</v>
      </c>
      <c r="D8" s="4" t="n">
        <v>521437</v>
      </c>
    </row>
    <row r="9" customFormat="false" ht="15" hidden="false" customHeight="false" outlineLevel="0" collapsed="false">
      <c r="A9" s="6" t="n">
        <v>45897</v>
      </c>
      <c r="B9" s="2" t="s">
        <v>25</v>
      </c>
      <c r="C9" s="2" t="s">
        <v>61</v>
      </c>
      <c r="D9" s="4" t="n">
        <v>234297</v>
      </c>
    </row>
    <row r="10" customFormat="false" ht="15" hidden="false" customHeight="false" outlineLevel="0" collapsed="false">
      <c r="A10" s="6" t="n">
        <v>45928</v>
      </c>
      <c r="B10" s="2" t="s">
        <v>25</v>
      </c>
      <c r="C10" s="2" t="s">
        <v>58</v>
      </c>
      <c r="D10" s="4" t="n">
        <v>873518</v>
      </c>
    </row>
    <row r="11" customFormat="false" ht="15" hidden="false" customHeight="false" outlineLevel="0" collapsed="false">
      <c r="A11" s="6" t="n">
        <v>45928</v>
      </c>
      <c r="B11" s="2" t="s">
        <v>25</v>
      </c>
      <c r="C11" s="2" t="s">
        <v>59</v>
      </c>
      <c r="D11" s="4" t="n">
        <v>604742</v>
      </c>
    </row>
    <row r="12" customFormat="false" ht="15" hidden="false" customHeight="false" outlineLevel="0" collapsed="false">
      <c r="A12" s="6" t="n">
        <v>45928</v>
      </c>
      <c r="B12" s="2" t="s">
        <v>25</v>
      </c>
      <c r="C12" s="2" t="s">
        <v>60</v>
      </c>
      <c r="D12" s="4" t="n">
        <v>403708</v>
      </c>
    </row>
    <row r="13" customFormat="false" ht="15" hidden="false" customHeight="false" outlineLevel="0" collapsed="false">
      <c r="A13" s="6" t="n">
        <v>45928</v>
      </c>
      <c r="B13" s="2" t="s">
        <v>25</v>
      </c>
      <c r="C13" s="2" t="s">
        <v>61</v>
      </c>
      <c r="D13" s="4" t="n">
        <v>253576</v>
      </c>
    </row>
    <row r="14" customFormat="false" ht="15" hidden="false" customHeight="false" outlineLevel="0" collapsed="false">
      <c r="A14" s="6" t="n">
        <v>45958</v>
      </c>
      <c r="B14" s="2" t="s">
        <v>25</v>
      </c>
      <c r="C14" s="2" t="s">
        <v>58</v>
      </c>
      <c r="D14" s="4" t="n">
        <v>1678671</v>
      </c>
    </row>
    <row r="15" customFormat="false" ht="15" hidden="false" customHeight="false" outlineLevel="0" collapsed="false">
      <c r="A15" s="6" t="n">
        <v>45958</v>
      </c>
      <c r="B15" s="2" t="s">
        <v>25</v>
      </c>
      <c r="C15" s="2" t="s">
        <v>59</v>
      </c>
      <c r="D15" s="4" t="n">
        <v>1190629</v>
      </c>
    </row>
    <row r="16" customFormat="false" ht="15" hidden="false" customHeight="false" outlineLevel="0" collapsed="false">
      <c r="A16" s="6" t="n">
        <v>45958</v>
      </c>
      <c r="B16" s="2" t="s">
        <v>25</v>
      </c>
      <c r="C16" s="2" t="s">
        <v>60</v>
      </c>
      <c r="D16" s="4" t="n">
        <v>896668</v>
      </c>
    </row>
    <row r="17" customFormat="false" ht="15" hidden="false" customHeight="false" outlineLevel="0" collapsed="false">
      <c r="A17" s="6" t="n">
        <v>45958</v>
      </c>
      <c r="B17" s="2" t="s">
        <v>25</v>
      </c>
      <c r="C17" s="2" t="s">
        <v>61</v>
      </c>
      <c r="D17" s="4" t="n">
        <v>378303</v>
      </c>
    </row>
    <row r="18" customFormat="false" ht="15" hidden="false" customHeight="false" outlineLevel="0" collapsed="false">
      <c r="A18" s="6" t="n">
        <v>45989</v>
      </c>
      <c r="B18" s="2" t="s">
        <v>25</v>
      </c>
      <c r="C18" s="2" t="s">
        <v>58</v>
      </c>
      <c r="D18" s="4" t="n">
        <v>1547660</v>
      </c>
    </row>
    <row r="19" customFormat="false" ht="15" hidden="false" customHeight="false" outlineLevel="0" collapsed="false">
      <c r="A19" s="6" t="n">
        <v>45989</v>
      </c>
      <c r="B19" s="2" t="s">
        <v>25</v>
      </c>
      <c r="C19" s="2" t="s">
        <v>59</v>
      </c>
      <c r="D19" s="4" t="n">
        <v>1242521</v>
      </c>
    </row>
    <row r="20" customFormat="false" ht="15" hidden="false" customHeight="false" outlineLevel="0" collapsed="false">
      <c r="A20" s="6" t="n">
        <v>45989</v>
      </c>
      <c r="B20" s="2" t="s">
        <v>25</v>
      </c>
      <c r="C20" s="2" t="s">
        <v>60</v>
      </c>
      <c r="D20" s="4" t="n">
        <v>764601</v>
      </c>
    </row>
    <row r="21" customFormat="false" ht="15" hidden="false" customHeight="false" outlineLevel="0" collapsed="false">
      <c r="A21" s="6" t="n">
        <v>45989</v>
      </c>
      <c r="B21" s="2" t="s">
        <v>25</v>
      </c>
      <c r="C21" s="2" t="s">
        <v>61</v>
      </c>
      <c r="D21" s="4" t="n">
        <v>396561</v>
      </c>
    </row>
    <row r="22" customFormat="false" ht="15" hidden="false" customHeight="false" outlineLevel="0" collapsed="false">
      <c r="A22" s="6" t="n">
        <v>46019</v>
      </c>
      <c r="B22" s="2" t="s">
        <v>25</v>
      </c>
      <c r="C22" s="2" t="s">
        <v>58</v>
      </c>
      <c r="D22" s="4" t="n">
        <v>1623862</v>
      </c>
    </row>
    <row r="23" customFormat="false" ht="15" hidden="false" customHeight="false" outlineLevel="0" collapsed="false">
      <c r="A23" s="6" t="n">
        <v>46019</v>
      </c>
      <c r="B23" s="2" t="s">
        <v>25</v>
      </c>
      <c r="C23" s="2" t="s">
        <v>59</v>
      </c>
      <c r="D23" s="4" t="n">
        <v>1242360</v>
      </c>
    </row>
    <row r="24" customFormat="false" ht="15" hidden="false" customHeight="false" outlineLevel="0" collapsed="false">
      <c r="A24" s="6" t="n">
        <v>46019</v>
      </c>
      <c r="B24" s="2" t="s">
        <v>25</v>
      </c>
      <c r="C24" s="2" t="s">
        <v>60</v>
      </c>
      <c r="D24" s="4" t="n">
        <v>772649</v>
      </c>
    </row>
    <row r="25" customFormat="false" ht="15" hidden="false" customHeight="false" outlineLevel="0" collapsed="false">
      <c r="A25" s="6" t="n">
        <v>46019</v>
      </c>
      <c r="B25" s="2" t="s">
        <v>25</v>
      </c>
      <c r="C25" s="2" t="s">
        <v>61</v>
      </c>
      <c r="D25" s="4" t="n">
        <v>406614</v>
      </c>
    </row>
    <row r="26" customFormat="false" ht="15" hidden="false" customHeight="false" outlineLevel="0" collapsed="false">
      <c r="A26" s="6" t="n">
        <v>46050</v>
      </c>
      <c r="B26" s="2" t="s">
        <v>25</v>
      </c>
      <c r="C26" s="2" t="s">
        <v>58</v>
      </c>
      <c r="D26" s="4" t="n">
        <v>695814</v>
      </c>
    </row>
    <row r="27" customFormat="false" ht="15" hidden="false" customHeight="false" outlineLevel="0" collapsed="false">
      <c r="A27" s="6" t="n">
        <v>46050</v>
      </c>
      <c r="B27" s="2" t="s">
        <v>25</v>
      </c>
      <c r="C27" s="2" t="s">
        <v>59</v>
      </c>
      <c r="D27" s="4" t="n">
        <v>581860</v>
      </c>
    </row>
    <row r="28" customFormat="false" ht="15" hidden="false" customHeight="false" outlineLevel="0" collapsed="false">
      <c r="A28" s="6" t="n">
        <v>46050</v>
      </c>
      <c r="B28" s="2" t="s">
        <v>25</v>
      </c>
      <c r="C28" s="2" t="s">
        <v>60</v>
      </c>
      <c r="D28" s="4" t="n">
        <v>357620</v>
      </c>
    </row>
    <row r="29" customFormat="false" ht="15" hidden="false" customHeight="false" outlineLevel="0" collapsed="false">
      <c r="A29" s="6" t="n">
        <v>46050</v>
      </c>
      <c r="B29" s="2" t="s">
        <v>25</v>
      </c>
      <c r="C29" s="2" t="s">
        <v>61</v>
      </c>
      <c r="D29" s="4" t="n">
        <v>179109</v>
      </c>
    </row>
    <row r="30" customFormat="false" ht="15" hidden="false" customHeight="false" outlineLevel="0" collapsed="false">
      <c r="A30" s="6" t="n">
        <v>46081</v>
      </c>
      <c r="B30" s="2" t="s">
        <v>25</v>
      </c>
      <c r="C30" s="2" t="s">
        <v>58</v>
      </c>
      <c r="D30" s="4" t="n">
        <v>1324316</v>
      </c>
    </row>
    <row r="31" customFormat="false" ht="15" hidden="false" customHeight="false" outlineLevel="0" collapsed="false">
      <c r="A31" s="6" t="n">
        <v>46081</v>
      </c>
      <c r="B31" s="2" t="s">
        <v>25</v>
      </c>
      <c r="C31" s="2" t="s">
        <v>59</v>
      </c>
      <c r="D31" s="4" t="n">
        <v>917198</v>
      </c>
    </row>
    <row r="32" customFormat="false" ht="15" hidden="false" customHeight="false" outlineLevel="0" collapsed="false">
      <c r="A32" s="6" t="n">
        <v>46081</v>
      </c>
      <c r="B32" s="2" t="s">
        <v>25</v>
      </c>
      <c r="C32" s="2" t="s">
        <v>60</v>
      </c>
      <c r="D32" s="4" t="n">
        <v>604632</v>
      </c>
    </row>
    <row r="33" customFormat="false" ht="15" hidden="false" customHeight="false" outlineLevel="0" collapsed="false">
      <c r="A33" s="6" t="n">
        <v>46081</v>
      </c>
      <c r="B33" s="2" t="s">
        <v>25</v>
      </c>
      <c r="C33" s="2" t="s">
        <v>61</v>
      </c>
      <c r="D33" s="4" t="n">
        <v>263852</v>
      </c>
    </row>
    <row r="34" customFormat="false" ht="15" hidden="false" customHeight="false" outlineLevel="0" collapsed="false">
      <c r="A34" s="6" t="n">
        <v>46109</v>
      </c>
      <c r="B34" s="2" t="s">
        <v>25</v>
      </c>
      <c r="C34" s="2" t="s">
        <v>58</v>
      </c>
      <c r="D34" s="4" t="n">
        <v>648559</v>
      </c>
    </row>
    <row r="35" customFormat="false" ht="15" hidden="false" customHeight="false" outlineLevel="0" collapsed="false">
      <c r="A35" s="6" t="n">
        <v>46109</v>
      </c>
      <c r="B35" s="2" t="s">
        <v>25</v>
      </c>
      <c r="C35" s="2" t="s">
        <v>59</v>
      </c>
      <c r="D35" s="4" t="n">
        <v>578784</v>
      </c>
    </row>
    <row r="36" customFormat="false" ht="15" hidden="false" customHeight="false" outlineLevel="0" collapsed="false">
      <c r="A36" s="6" t="n">
        <v>46109</v>
      </c>
      <c r="B36" s="2" t="s">
        <v>25</v>
      </c>
      <c r="C36" s="2" t="s">
        <v>60</v>
      </c>
      <c r="D36" s="4" t="n">
        <v>350577</v>
      </c>
    </row>
    <row r="37" customFormat="false" ht="15" hidden="false" customHeight="false" outlineLevel="0" collapsed="false">
      <c r="A37" s="6" t="n">
        <v>46109</v>
      </c>
      <c r="B37" s="2" t="s">
        <v>25</v>
      </c>
      <c r="C37" s="2" t="s">
        <v>61</v>
      </c>
      <c r="D37" s="4" t="n">
        <v>171097</v>
      </c>
    </row>
    <row r="38" customFormat="false" ht="15" hidden="false" customHeight="false" outlineLevel="0" collapsed="false">
      <c r="A38" s="6" t="n">
        <v>46140</v>
      </c>
      <c r="B38" s="2" t="s">
        <v>25</v>
      </c>
      <c r="C38" s="2" t="s">
        <v>58</v>
      </c>
      <c r="D38" s="4" t="n">
        <v>988314</v>
      </c>
    </row>
    <row r="39" customFormat="false" ht="15" hidden="false" customHeight="false" outlineLevel="0" collapsed="false">
      <c r="A39" s="6" t="n">
        <v>46140</v>
      </c>
      <c r="B39" s="2" t="s">
        <v>25</v>
      </c>
      <c r="C39" s="2" t="s">
        <v>59</v>
      </c>
      <c r="D39" s="4" t="n">
        <v>628910</v>
      </c>
    </row>
    <row r="40" customFormat="false" ht="15" hidden="false" customHeight="false" outlineLevel="0" collapsed="false">
      <c r="A40" s="6" t="n">
        <v>46140</v>
      </c>
      <c r="B40" s="2" t="s">
        <v>25</v>
      </c>
      <c r="C40" s="2" t="s">
        <v>60</v>
      </c>
      <c r="D40" s="4" t="n">
        <v>392309</v>
      </c>
    </row>
    <row r="41" customFormat="false" ht="15" hidden="false" customHeight="false" outlineLevel="0" collapsed="false">
      <c r="A41" s="6" t="n">
        <v>46140</v>
      </c>
      <c r="B41" s="2" t="s">
        <v>25</v>
      </c>
      <c r="C41" s="2" t="s">
        <v>61</v>
      </c>
      <c r="D41" s="4" t="n">
        <v>215552</v>
      </c>
    </row>
    <row r="42" customFormat="false" ht="15" hidden="false" customHeight="false" outlineLevel="0" collapsed="false">
      <c r="A42" s="6" t="n">
        <v>46170</v>
      </c>
      <c r="B42" s="2" t="s">
        <v>25</v>
      </c>
      <c r="C42" s="2" t="s">
        <v>58</v>
      </c>
      <c r="D42" s="4" t="n">
        <v>1446563</v>
      </c>
    </row>
    <row r="43" customFormat="false" ht="15" hidden="false" customHeight="false" outlineLevel="0" collapsed="false">
      <c r="A43" s="6" t="n">
        <v>46170</v>
      </c>
      <c r="B43" s="2" t="s">
        <v>25</v>
      </c>
      <c r="C43" s="2" t="s">
        <v>59</v>
      </c>
      <c r="D43" s="4" t="n">
        <v>1065804</v>
      </c>
    </row>
    <row r="44" customFormat="false" ht="15" hidden="false" customHeight="false" outlineLevel="0" collapsed="false">
      <c r="A44" s="6" t="n">
        <v>46170</v>
      </c>
      <c r="B44" s="2" t="s">
        <v>25</v>
      </c>
      <c r="C44" s="2" t="s">
        <v>60</v>
      </c>
      <c r="D44" s="4" t="n">
        <v>602953</v>
      </c>
    </row>
    <row r="45" customFormat="false" ht="15" hidden="false" customHeight="false" outlineLevel="0" collapsed="false">
      <c r="A45" s="6" t="n">
        <v>46170</v>
      </c>
      <c r="B45" s="2" t="s">
        <v>25</v>
      </c>
      <c r="C45" s="2" t="s">
        <v>61</v>
      </c>
      <c r="D45" s="4" t="n">
        <v>334110</v>
      </c>
    </row>
    <row r="46" customFormat="false" ht="15" hidden="false" customHeight="false" outlineLevel="0" collapsed="false">
      <c r="A46" s="6" t="n">
        <v>46201</v>
      </c>
      <c r="B46" s="2" t="s">
        <v>25</v>
      </c>
      <c r="C46" s="2" t="s">
        <v>58</v>
      </c>
      <c r="D46" s="4" t="n">
        <v>660496</v>
      </c>
    </row>
    <row r="47" customFormat="false" ht="15" hidden="false" customHeight="false" outlineLevel="0" collapsed="false">
      <c r="A47" s="6" t="n">
        <v>46201</v>
      </c>
      <c r="B47" s="2" t="s">
        <v>25</v>
      </c>
      <c r="C47" s="2" t="s">
        <v>59</v>
      </c>
      <c r="D47" s="4" t="n">
        <v>466185</v>
      </c>
    </row>
    <row r="48" customFormat="false" ht="15" hidden="false" customHeight="false" outlineLevel="0" collapsed="false">
      <c r="A48" s="6" t="n">
        <v>46201</v>
      </c>
      <c r="B48" s="2" t="s">
        <v>25</v>
      </c>
      <c r="C48" s="2" t="s">
        <v>60</v>
      </c>
      <c r="D48" s="4" t="n">
        <v>308959</v>
      </c>
    </row>
    <row r="49" customFormat="false" ht="15" hidden="false" customHeight="false" outlineLevel="0" collapsed="false">
      <c r="A49" s="6" t="n">
        <v>46201</v>
      </c>
      <c r="B49" s="2" t="s">
        <v>25</v>
      </c>
      <c r="C49" s="2" t="s">
        <v>61</v>
      </c>
      <c r="D49" s="4" t="n">
        <v>170266</v>
      </c>
    </row>
    <row r="50" customFormat="false" ht="15" hidden="false" customHeight="false" outlineLevel="0" collapsed="false">
      <c r="A50" s="6" t="n">
        <v>45866</v>
      </c>
      <c r="B50" s="2" t="s">
        <v>30</v>
      </c>
      <c r="C50" s="2" t="s">
        <v>58</v>
      </c>
      <c r="D50" s="4" t="n">
        <v>593418</v>
      </c>
    </row>
    <row r="51" customFormat="false" ht="15" hidden="false" customHeight="false" outlineLevel="0" collapsed="false">
      <c r="A51" s="6" t="n">
        <v>45866</v>
      </c>
      <c r="B51" s="2" t="s">
        <v>30</v>
      </c>
      <c r="C51" s="2" t="s">
        <v>59</v>
      </c>
      <c r="D51" s="4" t="n">
        <v>444761</v>
      </c>
    </row>
    <row r="52" customFormat="false" ht="15" hidden="false" customHeight="false" outlineLevel="0" collapsed="false">
      <c r="A52" s="6" t="n">
        <v>45866</v>
      </c>
      <c r="B52" s="2" t="s">
        <v>30</v>
      </c>
      <c r="C52" s="2" t="s">
        <v>60</v>
      </c>
      <c r="D52" s="4" t="n">
        <v>317555</v>
      </c>
    </row>
    <row r="53" customFormat="false" ht="15" hidden="false" customHeight="false" outlineLevel="0" collapsed="false">
      <c r="A53" s="6" t="n">
        <v>45866</v>
      </c>
      <c r="B53" s="2" t="s">
        <v>30</v>
      </c>
      <c r="C53" s="2" t="s">
        <v>61</v>
      </c>
      <c r="D53" s="4" t="n">
        <v>150018</v>
      </c>
    </row>
    <row r="54" customFormat="false" ht="15" hidden="false" customHeight="false" outlineLevel="0" collapsed="false">
      <c r="A54" s="6" t="n">
        <v>45897</v>
      </c>
      <c r="B54" s="2" t="s">
        <v>30</v>
      </c>
      <c r="C54" s="2" t="s">
        <v>58</v>
      </c>
      <c r="D54" s="4" t="n">
        <v>809125</v>
      </c>
    </row>
    <row r="55" customFormat="false" ht="15" hidden="false" customHeight="false" outlineLevel="0" collapsed="false">
      <c r="A55" s="6" t="n">
        <v>45897</v>
      </c>
      <c r="B55" s="2" t="s">
        <v>30</v>
      </c>
      <c r="C55" s="2" t="s">
        <v>59</v>
      </c>
      <c r="D55" s="4" t="n">
        <v>644807</v>
      </c>
    </row>
    <row r="56" customFormat="false" ht="15" hidden="false" customHeight="false" outlineLevel="0" collapsed="false">
      <c r="A56" s="6" t="n">
        <v>45897</v>
      </c>
      <c r="B56" s="2" t="s">
        <v>30</v>
      </c>
      <c r="C56" s="2" t="s">
        <v>60</v>
      </c>
      <c r="D56" s="4" t="n">
        <v>390802</v>
      </c>
    </row>
    <row r="57" customFormat="false" ht="15" hidden="false" customHeight="false" outlineLevel="0" collapsed="false">
      <c r="A57" s="6" t="n">
        <v>45897</v>
      </c>
      <c r="B57" s="2" t="s">
        <v>30</v>
      </c>
      <c r="C57" s="2" t="s">
        <v>61</v>
      </c>
      <c r="D57" s="4" t="n">
        <v>177344</v>
      </c>
    </row>
    <row r="58" customFormat="false" ht="15" hidden="false" customHeight="false" outlineLevel="0" collapsed="false">
      <c r="A58" s="6" t="n">
        <v>45928</v>
      </c>
      <c r="B58" s="2" t="s">
        <v>30</v>
      </c>
      <c r="C58" s="2" t="s">
        <v>58</v>
      </c>
      <c r="D58" s="4" t="n">
        <v>1213279</v>
      </c>
    </row>
    <row r="59" customFormat="false" ht="15" hidden="false" customHeight="false" outlineLevel="0" collapsed="false">
      <c r="A59" s="6" t="n">
        <v>45928</v>
      </c>
      <c r="B59" s="2" t="s">
        <v>30</v>
      </c>
      <c r="C59" s="2" t="s">
        <v>59</v>
      </c>
      <c r="D59" s="4" t="n">
        <v>902494</v>
      </c>
    </row>
    <row r="60" customFormat="false" ht="15" hidden="false" customHeight="false" outlineLevel="0" collapsed="false">
      <c r="A60" s="6" t="n">
        <v>45928</v>
      </c>
      <c r="B60" s="2" t="s">
        <v>30</v>
      </c>
      <c r="C60" s="2" t="s">
        <v>60</v>
      </c>
      <c r="D60" s="4" t="n">
        <v>601032</v>
      </c>
    </row>
    <row r="61" customFormat="false" ht="15" hidden="false" customHeight="false" outlineLevel="0" collapsed="false">
      <c r="A61" s="6" t="n">
        <v>45928</v>
      </c>
      <c r="B61" s="2" t="s">
        <v>30</v>
      </c>
      <c r="C61" s="2" t="s">
        <v>61</v>
      </c>
      <c r="D61" s="4" t="n">
        <v>274920</v>
      </c>
    </row>
    <row r="62" customFormat="false" ht="15" hidden="false" customHeight="false" outlineLevel="0" collapsed="false">
      <c r="A62" s="6" t="n">
        <v>45958</v>
      </c>
      <c r="B62" s="2" t="s">
        <v>30</v>
      </c>
      <c r="C62" s="2" t="s">
        <v>58</v>
      </c>
      <c r="D62" s="4" t="n">
        <v>837964</v>
      </c>
    </row>
    <row r="63" customFormat="false" ht="15" hidden="false" customHeight="false" outlineLevel="0" collapsed="false">
      <c r="A63" s="6" t="n">
        <v>45958</v>
      </c>
      <c r="B63" s="2" t="s">
        <v>30</v>
      </c>
      <c r="C63" s="2" t="s">
        <v>59</v>
      </c>
      <c r="D63" s="4" t="n">
        <v>750840</v>
      </c>
    </row>
    <row r="64" customFormat="false" ht="15" hidden="false" customHeight="false" outlineLevel="0" collapsed="false">
      <c r="A64" s="6" t="n">
        <v>45958</v>
      </c>
      <c r="B64" s="2" t="s">
        <v>30</v>
      </c>
      <c r="C64" s="2" t="s">
        <v>60</v>
      </c>
      <c r="D64" s="4" t="n">
        <v>477156</v>
      </c>
    </row>
    <row r="65" customFormat="false" ht="15" hidden="false" customHeight="false" outlineLevel="0" collapsed="false">
      <c r="A65" s="6" t="n">
        <v>45958</v>
      </c>
      <c r="B65" s="2" t="s">
        <v>30</v>
      </c>
      <c r="C65" s="2" t="s">
        <v>61</v>
      </c>
      <c r="D65" s="4" t="n">
        <v>201395</v>
      </c>
    </row>
    <row r="66" customFormat="false" ht="15" hidden="false" customHeight="false" outlineLevel="0" collapsed="false">
      <c r="A66" s="6" t="n">
        <v>45989</v>
      </c>
      <c r="B66" s="2" t="s">
        <v>30</v>
      </c>
      <c r="C66" s="2" t="s">
        <v>58</v>
      </c>
      <c r="D66" s="4" t="n">
        <v>397514</v>
      </c>
    </row>
    <row r="67" customFormat="false" ht="15" hidden="false" customHeight="false" outlineLevel="0" collapsed="false">
      <c r="A67" s="6" t="n">
        <v>45989</v>
      </c>
      <c r="B67" s="2" t="s">
        <v>30</v>
      </c>
      <c r="C67" s="2" t="s">
        <v>59</v>
      </c>
      <c r="D67" s="4" t="n">
        <v>365004</v>
      </c>
    </row>
    <row r="68" customFormat="false" ht="15" hidden="false" customHeight="false" outlineLevel="0" collapsed="false">
      <c r="A68" s="6" t="n">
        <v>45989</v>
      </c>
      <c r="B68" s="2" t="s">
        <v>30</v>
      </c>
      <c r="C68" s="2" t="s">
        <v>60</v>
      </c>
      <c r="D68" s="4" t="n">
        <v>249077</v>
      </c>
    </row>
    <row r="69" customFormat="false" ht="15" hidden="false" customHeight="false" outlineLevel="0" collapsed="false">
      <c r="A69" s="6" t="n">
        <v>45989</v>
      </c>
      <c r="B69" s="2" t="s">
        <v>30</v>
      </c>
      <c r="C69" s="2" t="s">
        <v>61</v>
      </c>
      <c r="D69" s="4" t="n">
        <v>130066</v>
      </c>
    </row>
    <row r="70" customFormat="false" ht="15" hidden="false" customHeight="false" outlineLevel="0" collapsed="false">
      <c r="A70" s="6" t="n">
        <v>46019</v>
      </c>
      <c r="B70" s="2" t="s">
        <v>30</v>
      </c>
      <c r="C70" s="2" t="s">
        <v>58</v>
      </c>
      <c r="D70" s="4" t="n">
        <v>1074440</v>
      </c>
    </row>
    <row r="71" customFormat="false" ht="15" hidden="false" customHeight="false" outlineLevel="0" collapsed="false">
      <c r="A71" s="6" t="n">
        <v>46019</v>
      </c>
      <c r="B71" s="2" t="s">
        <v>30</v>
      </c>
      <c r="C71" s="2" t="s">
        <v>59</v>
      </c>
      <c r="D71" s="4" t="n">
        <v>872061</v>
      </c>
    </row>
    <row r="72" customFormat="false" ht="15" hidden="false" customHeight="false" outlineLevel="0" collapsed="false">
      <c r="A72" s="6" t="n">
        <v>46019</v>
      </c>
      <c r="B72" s="2" t="s">
        <v>30</v>
      </c>
      <c r="C72" s="2" t="s">
        <v>60</v>
      </c>
      <c r="D72" s="4" t="n">
        <v>461149</v>
      </c>
    </row>
    <row r="73" customFormat="false" ht="15" hidden="false" customHeight="false" outlineLevel="0" collapsed="false">
      <c r="A73" s="6" t="n">
        <v>46019</v>
      </c>
      <c r="B73" s="2" t="s">
        <v>30</v>
      </c>
      <c r="C73" s="2" t="s">
        <v>61</v>
      </c>
      <c r="D73" s="4" t="n">
        <v>258454</v>
      </c>
    </row>
    <row r="74" customFormat="false" ht="15" hidden="false" customHeight="false" outlineLevel="0" collapsed="false">
      <c r="A74" s="6" t="n">
        <v>46050</v>
      </c>
      <c r="B74" s="2" t="s">
        <v>30</v>
      </c>
      <c r="C74" s="2" t="s">
        <v>58</v>
      </c>
      <c r="D74" s="4" t="n">
        <v>1045326</v>
      </c>
    </row>
    <row r="75" customFormat="false" ht="15" hidden="false" customHeight="false" outlineLevel="0" collapsed="false">
      <c r="A75" s="6" t="n">
        <v>46050</v>
      </c>
      <c r="B75" s="2" t="s">
        <v>30</v>
      </c>
      <c r="C75" s="2" t="s">
        <v>59</v>
      </c>
      <c r="D75" s="4" t="n">
        <v>747809</v>
      </c>
    </row>
    <row r="76" customFormat="false" ht="15" hidden="false" customHeight="false" outlineLevel="0" collapsed="false">
      <c r="A76" s="6" t="n">
        <v>46050</v>
      </c>
      <c r="B76" s="2" t="s">
        <v>30</v>
      </c>
      <c r="C76" s="2" t="s">
        <v>60</v>
      </c>
      <c r="D76" s="4" t="n">
        <v>489454</v>
      </c>
    </row>
    <row r="77" customFormat="false" ht="15" hidden="false" customHeight="false" outlineLevel="0" collapsed="false">
      <c r="A77" s="6" t="n">
        <v>46050</v>
      </c>
      <c r="B77" s="2" t="s">
        <v>30</v>
      </c>
      <c r="C77" s="2" t="s">
        <v>61</v>
      </c>
      <c r="D77" s="4" t="n">
        <v>246330</v>
      </c>
    </row>
    <row r="78" customFormat="false" ht="15" hidden="false" customHeight="false" outlineLevel="0" collapsed="false">
      <c r="A78" s="6" t="n">
        <v>46081</v>
      </c>
      <c r="B78" s="2" t="s">
        <v>30</v>
      </c>
      <c r="C78" s="2" t="s">
        <v>58</v>
      </c>
      <c r="D78" s="4" t="n">
        <v>903607</v>
      </c>
    </row>
    <row r="79" customFormat="false" ht="15" hidden="false" customHeight="false" outlineLevel="0" collapsed="false">
      <c r="A79" s="6" t="n">
        <v>46081</v>
      </c>
      <c r="B79" s="2" t="s">
        <v>30</v>
      </c>
      <c r="C79" s="2" t="s">
        <v>59</v>
      </c>
      <c r="D79" s="4" t="n">
        <v>788909</v>
      </c>
    </row>
    <row r="80" customFormat="false" ht="15" hidden="false" customHeight="false" outlineLevel="0" collapsed="false">
      <c r="A80" s="6" t="n">
        <v>46081</v>
      </c>
      <c r="B80" s="2" t="s">
        <v>30</v>
      </c>
      <c r="C80" s="2" t="s">
        <v>60</v>
      </c>
      <c r="D80" s="4" t="n">
        <v>462802</v>
      </c>
    </row>
    <row r="81" customFormat="false" ht="15" hidden="false" customHeight="false" outlineLevel="0" collapsed="false">
      <c r="A81" s="6" t="n">
        <v>46081</v>
      </c>
      <c r="B81" s="2" t="s">
        <v>30</v>
      </c>
      <c r="C81" s="2" t="s">
        <v>61</v>
      </c>
      <c r="D81" s="4" t="n">
        <v>217060</v>
      </c>
    </row>
    <row r="82" customFormat="false" ht="15" hidden="false" customHeight="false" outlineLevel="0" collapsed="false">
      <c r="A82" s="6" t="n">
        <v>46109</v>
      </c>
      <c r="B82" s="2" t="s">
        <v>30</v>
      </c>
      <c r="C82" s="2" t="s">
        <v>58</v>
      </c>
      <c r="D82" s="4" t="n">
        <v>532684</v>
      </c>
    </row>
    <row r="83" customFormat="false" ht="15" hidden="false" customHeight="false" outlineLevel="0" collapsed="false">
      <c r="A83" s="6" t="n">
        <v>46109</v>
      </c>
      <c r="B83" s="2" t="s">
        <v>30</v>
      </c>
      <c r="C83" s="2" t="s">
        <v>59</v>
      </c>
      <c r="D83" s="4" t="n">
        <v>474099</v>
      </c>
    </row>
    <row r="84" customFormat="false" ht="15" hidden="false" customHeight="false" outlineLevel="0" collapsed="false">
      <c r="A84" s="6" t="n">
        <v>46109</v>
      </c>
      <c r="B84" s="2" t="s">
        <v>30</v>
      </c>
      <c r="C84" s="2" t="s">
        <v>60</v>
      </c>
      <c r="D84" s="4" t="n">
        <v>319287</v>
      </c>
    </row>
    <row r="85" customFormat="false" ht="15" hidden="false" customHeight="false" outlineLevel="0" collapsed="false">
      <c r="A85" s="6" t="n">
        <v>46109</v>
      </c>
      <c r="B85" s="2" t="s">
        <v>30</v>
      </c>
      <c r="C85" s="2" t="s">
        <v>61</v>
      </c>
      <c r="D85" s="4" t="n">
        <v>132525</v>
      </c>
    </row>
    <row r="86" customFormat="false" ht="15" hidden="false" customHeight="false" outlineLevel="0" collapsed="false">
      <c r="A86" s="6" t="n">
        <v>46140</v>
      </c>
      <c r="B86" s="2" t="s">
        <v>30</v>
      </c>
      <c r="C86" s="2" t="s">
        <v>58</v>
      </c>
      <c r="D86" s="4" t="n">
        <v>511263</v>
      </c>
    </row>
    <row r="87" customFormat="false" ht="15" hidden="false" customHeight="false" outlineLevel="0" collapsed="false">
      <c r="A87" s="6" t="n">
        <v>46140</v>
      </c>
      <c r="B87" s="2" t="s">
        <v>30</v>
      </c>
      <c r="C87" s="2" t="s">
        <v>59</v>
      </c>
      <c r="D87" s="4" t="n">
        <v>378690</v>
      </c>
    </row>
    <row r="88" customFormat="false" ht="15" hidden="false" customHeight="false" outlineLevel="0" collapsed="false">
      <c r="A88" s="6" t="n">
        <v>46140</v>
      </c>
      <c r="B88" s="2" t="s">
        <v>30</v>
      </c>
      <c r="C88" s="2" t="s">
        <v>60</v>
      </c>
      <c r="D88" s="4" t="n">
        <v>278811</v>
      </c>
    </row>
    <row r="89" customFormat="false" ht="15" hidden="false" customHeight="false" outlineLevel="0" collapsed="false">
      <c r="A89" s="6" t="n">
        <v>46140</v>
      </c>
      <c r="B89" s="2" t="s">
        <v>30</v>
      </c>
      <c r="C89" s="2" t="s">
        <v>61</v>
      </c>
      <c r="D89" s="4" t="n">
        <v>147501</v>
      </c>
    </row>
    <row r="90" customFormat="false" ht="15" hidden="false" customHeight="false" outlineLevel="0" collapsed="false">
      <c r="A90" s="6" t="n">
        <v>46170</v>
      </c>
      <c r="B90" s="2" t="s">
        <v>30</v>
      </c>
      <c r="C90" s="2" t="s">
        <v>58</v>
      </c>
      <c r="D90" s="4" t="n">
        <v>493038</v>
      </c>
    </row>
    <row r="91" customFormat="false" ht="15" hidden="false" customHeight="false" outlineLevel="0" collapsed="false">
      <c r="A91" s="6" t="n">
        <v>46170</v>
      </c>
      <c r="B91" s="2" t="s">
        <v>30</v>
      </c>
      <c r="C91" s="2" t="s">
        <v>59</v>
      </c>
      <c r="D91" s="4" t="n">
        <v>389966</v>
      </c>
    </row>
    <row r="92" customFormat="false" ht="15" hidden="false" customHeight="false" outlineLevel="0" collapsed="false">
      <c r="A92" s="6" t="n">
        <v>46170</v>
      </c>
      <c r="B92" s="2" t="s">
        <v>30</v>
      </c>
      <c r="C92" s="2" t="s">
        <v>60</v>
      </c>
      <c r="D92" s="4" t="n">
        <v>271602</v>
      </c>
    </row>
    <row r="93" customFormat="false" ht="15" hidden="false" customHeight="false" outlineLevel="0" collapsed="false">
      <c r="A93" s="6" t="n">
        <v>46170</v>
      </c>
      <c r="B93" s="2" t="s">
        <v>30</v>
      </c>
      <c r="C93" s="2" t="s">
        <v>61</v>
      </c>
      <c r="D93" s="4" t="n">
        <v>124611</v>
      </c>
    </row>
    <row r="94" customFormat="false" ht="15" hidden="false" customHeight="false" outlineLevel="0" collapsed="false">
      <c r="A94" s="6" t="n">
        <v>46201</v>
      </c>
      <c r="B94" s="2" t="s">
        <v>30</v>
      </c>
      <c r="C94" s="2" t="s">
        <v>58</v>
      </c>
      <c r="D94" s="4" t="n">
        <v>362216</v>
      </c>
    </row>
    <row r="95" customFormat="false" ht="15" hidden="false" customHeight="false" outlineLevel="0" collapsed="false">
      <c r="A95" s="6" t="n">
        <v>46201</v>
      </c>
      <c r="B95" s="2" t="s">
        <v>30</v>
      </c>
      <c r="C95" s="2" t="s">
        <v>59</v>
      </c>
      <c r="D95" s="4" t="n">
        <v>245443</v>
      </c>
    </row>
    <row r="96" customFormat="false" ht="15" hidden="false" customHeight="false" outlineLevel="0" collapsed="false">
      <c r="A96" s="6" t="n">
        <v>46201</v>
      </c>
      <c r="B96" s="2" t="s">
        <v>30</v>
      </c>
      <c r="C96" s="2" t="s">
        <v>60</v>
      </c>
      <c r="D96" s="4" t="n">
        <v>195188</v>
      </c>
    </row>
    <row r="97" customFormat="false" ht="15" hidden="false" customHeight="false" outlineLevel="0" collapsed="false">
      <c r="A97" s="6" t="n">
        <v>46201</v>
      </c>
      <c r="B97" s="2" t="s">
        <v>30</v>
      </c>
      <c r="C97" s="2" t="s">
        <v>61</v>
      </c>
      <c r="D97" s="4" t="n">
        <v>89079</v>
      </c>
    </row>
    <row r="98" customFormat="false" ht="15" hidden="false" customHeight="false" outlineLevel="0" collapsed="false">
      <c r="A98" s="6" t="n">
        <v>45866</v>
      </c>
      <c r="B98" s="2" t="s">
        <v>34</v>
      </c>
      <c r="C98" s="2" t="s">
        <v>58</v>
      </c>
      <c r="D98" s="4" t="n">
        <v>1565697</v>
      </c>
    </row>
    <row r="99" customFormat="false" ht="15" hidden="false" customHeight="false" outlineLevel="0" collapsed="false">
      <c r="A99" s="6" t="n">
        <v>45866</v>
      </c>
      <c r="B99" s="2" t="s">
        <v>34</v>
      </c>
      <c r="C99" s="2" t="s">
        <v>59</v>
      </c>
      <c r="D99" s="4" t="n">
        <v>1024187</v>
      </c>
    </row>
    <row r="100" customFormat="false" ht="15" hidden="false" customHeight="false" outlineLevel="0" collapsed="false">
      <c r="A100" s="6" t="n">
        <v>45866</v>
      </c>
      <c r="B100" s="2" t="s">
        <v>34</v>
      </c>
      <c r="C100" s="2" t="s">
        <v>60</v>
      </c>
      <c r="D100" s="4" t="n">
        <v>769945</v>
      </c>
    </row>
    <row r="101" customFormat="false" ht="15" hidden="false" customHeight="false" outlineLevel="0" collapsed="false">
      <c r="A101" s="6" t="n">
        <v>45866</v>
      </c>
      <c r="B101" s="2" t="s">
        <v>34</v>
      </c>
      <c r="C101" s="2" t="s">
        <v>61</v>
      </c>
      <c r="D101" s="4" t="n">
        <v>352565</v>
      </c>
    </row>
    <row r="102" customFormat="false" ht="15" hidden="false" customHeight="false" outlineLevel="0" collapsed="false">
      <c r="A102" s="6" t="n">
        <v>45897</v>
      </c>
      <c r="B102" s="2" t="s">
        <v>34</v>
      </c>
      <c r="C102" s="2" t="s">
        <v>58</v>
      </c>
      <c r="D102" s="4" t="n">
        <v>2020493</v>
      </c>
    </row>
    <row r="103" customFormat="false" ht="15" hidden="false" customHeight="false" outlineLevel="0" collapsed="false">
      <c r="A103" s="6" t="n">
        <v>45897</v>
      </c>
      <c r="B103" s="2" t="s">
        <v>34</v>
      </c>
      <c r="C103" s="2" t="s">
        <v>59</v>
      </c>
      <c r="D103" s="4" t="n">
        <v>1450821</v>
      </c>
    </row>
    <row r="104" customFormat="false" ht="15" hidden="false" customHeight="false" outlineLevel="0" collapsed="false">
      <c r="A104" s="6" t="n">
        <v>45897</v>
      </c>
      <c r="B104" s="2" t="s">
        <v>34</v>
      </c>
      <c r="C104" s="2" t="s">
        <v>60</v>
      </c>
      <c r="D104" s="4" t="n">
        <v>1002263</v>
      </c>
    </row>
    <row r="105" customFormat="false" ht="15" hidden="false" customHeight="false" outlineLevel="0" collapsed="false">
      <c r="A105" s="6" t="n">
        <v>45897</v>
      </c>
      <c r="B105" s="2" t="s">
        <v>34</v>
      </c>
      <c r="C105" s="2" t="s">
        <v>61</v>
      </c>
      <c r="D105" s="4" t="n">
        <v>495513</v>
      </c>
    </row>
    <row r="106" customFormat="false" ht="15" hidden="false" customHeight="false" outlineLevel="0" collapsed="false">
      <c r="A106" s="6" t="n">
        <v>45928</v>
      </c>
      <c r="B106" s="2" t="s">
        <v>34</v>
      </c>
      <c r="C106" s="2" t="s">
        <v>58</v>
      </c>
      <c r="D106" s="4" t="n">
        <v>705486</v>
      </c>
    </row>
    <row r="107" customFormat="false" ht="15" hidden="false" customHeight="false" outlineLevel="0" collapsed="false">
      <c r="A107" s="6" t="n">
        <v>45928</v>
      </c>
      <c r="B107" s="2" t="s">
        <v>34</v>
      </c>
      <c r="C107" s="2" t="s">
        <v>59</v>
      </c>
      <c r="D107" s="4" t="n">
        <v>485769</v>
      </c>
    </row>
    <row r="108" customFormat="false" ht="15" hidden="false" customHeight="false" outlineLevel="0" collapsed="false">
      <c r="A108" s="6" t="n">
        <v>45928</v>
      </c>
      <c r="B108" s="2" t="s">
        <v>34</v>
      </c>
      <c r="C108" s="2" t="s">
        <v>60</v>
      </c>
      <c r="D108" s="4" t="n">
        <v>343751</v>
      </c>
    </row>
    <row r="109" customFormat="false" ht="15" hidden="false" customHeight="false" outlineLevel="0" collapsed="false">
      <c r="A109" s="6" t="n">
        <v>45928</v>
      </c>
      <c r="B109" s="2" t="s">
        <v>34</v>
      </c>
      <c r="C109" s="2" t="s">
        <v>61</v>
      </c>
      <c r="D109" s="4" t="n">
        <v>153680</v>
      </c>
    </row>
    <row r="110" customFormat="false" ht="15" hidden="false" customHeight="false" outlineLevel="0" collapsed="false">
      <c r="A110" s="6" t="n">
        <v>45958</v>
      </c>
      <c r="B110" s="2" t="s">
        <v>34</v>
      </c>
      <c r="C110" s="2" t="s">
        <v>58</v>
      </c>
      <c r="D110" s="4" t="n">
        <v>993441</v>
      </c>
    </row>
    <row r="111" customFormat="false" ht="15" hidden="false" customHeight="false" outlineLevel="0" collapsed="false">
      <c r="A111" s="6" t="n">
        <v>45958</v>
      </c>
      <c r="B111" s="2" t="s">
        <v>34</v>
      </c>
      <c r="C111" s="2" t="s">
        <v>59</v>
      </c>
      <c r="D111" s="4" t="n">
        <v>869849</v>
      </c>
    </row>
    <row r="112" customFormat="false" ht="15" hidden="false" customHeight="false" outlineLevel="0" collapsed="false">
      <c r="A112" s="6" t="n">
        <v>45958</v>
      </c>
      <c r="B112" s="2" t="s">
        <v>34</v>
      </c>
      <c r="C112" s="2" t="s">
        <v>60</v>
      </c>
      <c r="D112" s="4" t="n">
        <v>527148</v>
      </c>
    </row>
    <row r="113" customFormat="false" ht="15" hidden="false" customHeight="false" outlineLevel="0" collapsed="false">
      <c r="A113" s="6" t="n">
        <v>45958</v>
      </c>
      <c r="B113" s="2" t="s">
        <v>34</v>
      </c>
      <c r="C113" s="2" t="s">
        <v>61</v>
      </c>
      <c r="D113" s="4" t="n">
        <v>261009</v>
      </c>
    </row>
    <row r="114" customFormat="false" ht="15" hidden="false" customHeight="false" outlineLevel="0" collapsed="false">
      <c r="A114" s="6" t="n">
        <v>45989</v>
      </c>
      <c r="B114" s="2" t="s">
        <v>34</v>
      </c>
      <c r="C114" s="2" t="s">
        <v>58</v>
      </c>
      <c r="D114" s="4" t="n">
        <v>1010376</v>
      </c>
    </row>
    <row r="115" customFormat="false" ht="15" hidden="false" customHeight="false" outlineLevel="0" collapsed="false">
      <c r="A115" s="6" t="n">
        <v>45989</v>
      </c>
      <c r="B115" s="2" t="s">
        <v>34</v>
      </c>
      <c r="C115" s="2" t="s">
        <v>59</v>
      </c>
      <c r="D115" s="4" t="n">
        <v>794147</v>
      </c>
    </row>
    <row r="116" customFormat="false" ht="15" hidden="false" customHeight="false" outlineLevel="0" collapsed="false">
      <c r="A116" s="6" t="n">
        <v>45989</v>
      </c>
      <c r="B116" s="2" t="s">
        <v>34</v>
      </c>
      <c r="C116" s="2" t="s">
        <v>60</v>
      </c>
      <c r="D116" s="4" t="n">
        <v>445418</v>
      </c>
    </row>
    <row r="117" customFormat="false" ht="15" hidden="false" customHeight="false" outlineLevel="0" collapsed="false">
      <c r="A117" s="6" t="n">
        <v>45989</v>
      </c>
      <c r="B117" s="2" t="s">
        <v>34</v>
      </c>
      <c r="C117" s="2" t="s">
        <v>61</v>
      </c>
      <c r="D117" s="4" t="n">
        <v>233286</v>
      </c>
    </row>
    <row r="118" customFormat="false" ht="15" hidden="false" customHeight="false" outlineLevel="0" collapsed="false">
      <c r="A118" s="6" t="n">
        <v>46019</v>
      </c>
      <c r="B118" s="2" t="s">
        <v>34</v>
      </c>
      <c r="C118" s="2" t="s">
        <v>58</v>
      </c>
      <c r="D118" s="4" t="n">
        <v>1632654</v>
      </c>
    </row>
    <row r="119" customFormat="false" ht="15" hidden="false" customHeight="false" outlineLevel="0" collapsed="false">
      <c r="A119" s="6" t="n">
        <v>46019</v>
      </c>
      <c r="B119" s="2" t="s">
        <v>34</v>
      </c>
      <c r="C119" s="2" t="s">
        <v>59</v>
      </c>
      <c r="D119" s="4" t="n">
        <v>1299139</v>
      </c>
    </row>
    <row r="120" customFormat="false" ht="15" hidden="false" customHeight="false" outlineLevel="0" collapsed="false">
      <c r="A120" s="6" t="n">
        <v>46019</v>
      </c>
      <c r="B120" s="2" t="s">
        <v>34</v>
      </c>
      <c r="C120" s="2" t="s">
        <v>60</v>
      </c>
      <c r="D120" s="4" t="n">
        <v>699029</v>
      </c>
    </row>
    <row r="121" customFormat="false" ht="15" hidden="false" customHeight="false" outlineLevel="0" collapsed="false">
      <c r="A121" s="6" t="n">
        <v>46019</v>
      </c>
      <c r="B121" s="2" t="s">
        <v>34</v>
      </c>
      <c r="C121" s="2" t="s">
        <v>61</v>
      </c>
      <c r="D121" s="4" t="n">
        <v>413240</v>
      </c>
    </row>
    <row r="122" customFormat="false" ht="15" hidden="false" customHeight="false" outlineLevel="0" collapsed="false">
      <c r="A122" s="6" t="n">
        <v>46050</v>
      </c>
      <c r="B122" s="2" t="s">
        <v>34</v>
      </c>
      <c r="C122" s="2" t="s">
        <v>58</v>
      </c>
      <c r="D122" s="4" t="n">
        <v>795325</v>
      </c>
    </row>
    <row r="123" customFormat="false" ht="15" hidden="false" customHeight="false" outlineLevel="0" collapsed="false">
      <c r="A123" s="6" t="n">
        <v>46050</v>
      </c>
      <c r="B123" s="2" t="s">
        <v>34</v>
      </c>
      <c r="C123" s="2" t="s">
        <v>59</v>
      </c>
      <c r="D123" s="4" t="n">
        <v>756717</v>
      </c>
    </row>
    <row r="124" customFormat="false" ht="15" hidden="false" customHeight="false" outlineLevel="0" collapsed="false">
      <c r="A124" s="6" t="n">
        <v>46050</v>
      </c>
      <c r="B124" s="2" t="s">
        <v>34</v>
      </c>
      <c r="C124" s="2" t="s">
        <v>60</v>
      </c>
      <c r="D124" s="4" t="n">
        <v>387382</v>
      </c>
    </row>
    <row r="125" customFormat="false" ht="15" hidden="false" customHeight="false" outlineLevel="0" collapsed="false">
      <c r="A125" s="6" t="n">
        <v>46050</v>
      </c>
      <c r="B125" s="2" t="s">
        <v>34</v>
      </c>
      <c r="C125" s="2" t="s">
        <v>61</v>
      </c>
      <c r="D125" s="4" t="n">
        <v>200719</v>
      </c>
    </row>
    <row r="126" customFormat="false" ht="15" hidden="false" customHeight="false" outlineLevel="0" collapsed="false">
      <c r="A126" s="6" t="n">
        <v>46081</v>
      </c>
      <c r="B126" s="2" t="s">
        <v>34</v>
      </c>
      <c r="C126" s="2" t="s">
        <v>58</v>
      </c>
      <c r="D126" s="4" t="n">
        <v>752301</v>
      </c>
    </row>
    <row r="127" customFormat="false" ht="15" hidden="false" customHeight="false" outlineLevel="0" collapsed="false">
      <c r="A127" s="6" t="n">
        <v>46081</v>
      </c>
      <c r="B127" s="2" t="s">
        <v>34</v>
      </c>
      <c r="C127" s="2" t="s">
        <v>59</v>
      </c>
      <c r="D127" s="4" t="n">
        <v>543022</v>
      </c>
    </row>
    <row r="128" customFormat="false" ht="15" hidden="false" customHeight="false" outlineLevel="0" collapsed="false">
      <c r="A128" s="6" t="n">
        <v>46081</v>
      </c>
      <c r="B128" s="2" t="s">
        <v>34</v>
      </c>
      <c r="C128" s="2" t="s">
        <v>60</v>
      </c>
      <c r="D128" s="4" t="n">
        <v>456453</v>
      </c>
    </row>
    <row r="129" customFormat="false" ht="15" hidden="false" customHeight="false" outlineLevel="0" collapsed="false">
      <c r="A129" s="6" t="n">
        <v>46081</v>
      </c>
      <c r="B129" s="2" t="s">
        <v>34</v>
      </c>
      <c r="C129" s="2" t="s">
        <v>61</v>
      </c>
      <c r="D129" s="4" t="n">
        <v>188750</v>
      </c>
    </row>
    <row r="130" customFormat="false" ht="15" hidden="false" customHeight="false" outlineLevel="0" collapsed="false">
      <c r="A130" s="6" t="n">
        <v>46109</v>
      </c>
      <c r="B130" s="2" t="s">
        <v>34</v>
      </c>
      <c r="C130" s="2" t="s">
        <v>58</v>
      </c>
      <c r="D130" s="4" t="n">
        <v>1095959</v>
      </c>
    </row>
    <row r="131" customFormat="false" ht="15" hidden="false" customHeight="false" outlineLevel="0" collapsed="false">
      <c r="A131" s="6" t="n">
        <v>46109</v>
      </c>
      <c r="B131" s="2" t="s">
        <v>34</v>
      </c>
      <c r="C131" s="2" t="s">
        <v>59</v>
      </c>
      <c r="D131" s="4" t="n">
        <v>863527</v>
      </c>
    </row>
    <row r="132" customFormat="false" ht="15" hidden="false" customHeight="false" outlineLevel="0" collapsed="false">
      <c r="A132" s="6" t="n">
        <v>46109</v>
      </c>
      <c r="B132" s="2" t="s">
        <v>34</v>
      </c>
      <c r="C132" s="2" t="s">
        <v>60</v>
      </c>
      <c r="D132" s="4" t="n">
        <v>565426</v>
      </c>
    </row>
    <row r="133" customFormat="false" ht="15" hidden="false" customHeight="false" outlineLevel="0" collapsed="false">
      <c r="A133" s="6" t="n">
        <v>46109</v>
      </c>
      <c r="B133" s="2" t="s">
        <v>34</v>
      </c>
      <c r="C133" s="2" t="s">
        <v>61</v>
      </c>
      <c r="D133" s="4" t="n">
        <v>317413</v>
      </c>
    </row>
    <row r="134" customFormat="false" ht="15" hidden="false" customHeight="false" outlineLevel="0" collapsed="false">
      <c r="A134" s="6" t="n">
        <v>46140</v>
      </c>
      <c r="B134" s="2" t="s">
        <v>34</v>
      </c>
      <c r="C134" s="2" t="s">
        <v>58</v>
      </c>
      <c r="D134" s="4" t="n">
        <v>1005956</v>
      </c>
    </row>
    <row r="135" customFormat="false" ht="15" hidden="false" customHeight="false" outlineLevel="0" collapsed="false">
      <c r="A135" s="6" t="n">
        <v>46140</v>
      </c>
      <c r="B135" s="2" t="s">
        <v>34</v>
      </c>
      <c r="C135" s="2" t="s">
        <v>59</v>
      </c>
      <c r="D135" s="4" t="n">
        <v>793050</v>
      </c>
    </row>
    <row r="136" customFormat="false" ht="15" hidden="false" customHeight="false" outlineLevel="0" collapsed="false">
      <c r="A136" s="6" t="n">
        <v>46140</v>
      </c>
      <c r="B136" s="2" t="s">
        <v>34</v>
      </c>
      <c r="C136" s="2" t="s">
        <v>60</v>
      </c>
      <c r="D136" s="4" t="n">
        <v>573873</v>
      </c>
    </row>
    <row r="137" customFormat="false" ht="15" hidden="false" customHeight="false" outlineLevel="0" collapsed="false">
      <c r="A137" s="6" t="n">
        <v>46140</v>
      </c>
      <c r="B137" s="2" t="s">
        <v>34</v>
      </c>
      <c r="C137" s="2" t="s">
        <v>61</v>
      </c>
      <c r="D137" s="4" t="n">
        <v>256508</v>
      </c>
    </row>
    <row r="138" customFormat="false" ht="15" hidden="false" customHeight="false" outlineLevel="0" collapsed="false">
      <c r="A138" s="6" t="n">
        <v>46170</v>
      </c>
      <c r="B138" s="2" t="s">
        <v>34</v>
      </c>
      <c r="C138" s="2" t="s">
        <v>58</v>
      </c>
      <c r="D138" s="4" t="n">
        <v>803602</v>
      </c>
    </row>
    <row r="139" customFormat="false" ht="15" hidden="false" customHeight="false" outlineLevel="0" collapsed="false">
      <c r="A139" s="6" t="n">
        <v>46170</v>
      </c>
      <c r="B139" s="2" t="s">
        <v>34</v>
      </c>
      <c r="C139" s="2" t="s">
        <v>59</v>
      </c>
      <c r="D139" s="4" t="n">
        <v>682707</v>
      </c>
    </row>
    <row r="140" customFormat="false" ht="15" hidden="false" customHeight="false" outlineLevel="0" collapsed="false">
      <c r="A140" s="6" t="n">
        <v>46170</v>
      </c>
      <c r="B140" s="2" t="s">
        <v>34</v>
      </c>
      <c r="C140" s="2" t="s">
        <v>60</v>
      </c>
      <c r="D140" s="4" t="n">
        <v>529828</v>
      </c>
    </row>
    <row r="141" customFormat="false" ht="15" hidden="false" customHeight="false" outlineLevel="0" collapsed="false">
      <c r="A141" s="6" t="n">
        <v>46170</v>
      </c>
      <c r="B141" s="2" t="s">
        <v>34</v>
      </c>
      <c r="C141" s="2" t="s">
        <v>61</v>
      </c>
      <c r="D141" s="4" t="n">
        <v>264751</v>
      </c>
    </row>
    <row r="142" customFormat="false" ht="15" hidden="false" customHeight="false" outlineLevel="0" collapsed="false">
      <c r="A142" s="6" t="n">
        <v>46201</v>
      </c>
      <c r="B142" s="2" t="s">
        <v>34</v>
      </c>
      <c r="C142" s="2" t="s">
        <v>58</v>
      </c>
      <c r="D142" s="4" t="n">
        <v>811388</v>
      </c>
    </row>
    <row r="143" customFormat="false" ht="15" hidden="false" customHeight="false" outlineLevel="0" collapsed="false">
      <c r="A143" s="6" t="n">
        <v>46201</v>
      </c>
      <c r="B143" s="2" t="s">
        <v>34</v>
      </c>
      <c r="C143" s="2" t="s">
        <v>59</v>
      </c>
      <c r="D143" s="4" t="n">
        <v>618937</v>
      </c>
    </row>
    <row r="144" customFormat="false" ht="15" hidden="false" customHeight="false" outlineLevel="0" collapsed="false">
      <c r="A144" s="6" t="n">
        <v>46201</v>
      </c>
      <c r="B144" s="2" t="s">
        <v>34</v>
      </c>
      <c r="C144" s="2" t="s">
        <v>60</v>
      </c>
      <c r="D144" s="4" t="n">
        <v>501589</v>
      </c>
    </row>
    <row r="145" customFormat="false" ht="15" hidden="false" customHeight="false" outlineLevel="0" collapsed="false">
      <c r="A145" s="6" t="n">
        <v>46201</v>
      </c>
      <c r="B145" s="2" t="s">
        <v>34</v>
      </c>
      <c r="C145" s="2" t="s">
        <v>61</v>
      </c>
      <c r="D145" s="4" t="n">
        <v>247306</v>
      </c>
    </row>
    <row r="146" customFormat="false" ht="15" hidden="false" customHeight="false" outlineLevel="0" collapsed="false">
      <c r="A146" s="6" t="n">
        <v>45866</v>
      </c>
      <c r="B146" s="2" t="s">
        <v>38</v>
      </c>
      <c r="C146" s="2" t="s">
        <v>58</v>
      </c>
      <c r="D146" s="4" t="n">
        <v>747436</v>
      </c>
    </row>
    <row r="147" customFormat="false" ht="15" hidden="false" customHeight="false" outlineLevel="0" collapsed="false">
      <c r="A147" s="6" t="n">
        <v>45866</v>
      </c>
      <c r="B147" s="2" t="s">
        <v>38</v>
      </c>
      <c r="C147" s="2" t="s">
        <v>59</v>
      </c>
      <c r="D147" s="4" t="n">
        <v>547777</v>
      </c>
    </row>
    <row r="148" customFormat="false" ht="15" hidden="false" customHeight="false" outlineLevel="0" collapsed="false">
      <c r="A148" s="6" t="n">
        <v>45866</v>
      </c>
      <c r="B148" s="2" t="s">
        <v>38</v>
      </c>
      <c r="C148" s="2" t="s">
        <v>60</v>
      </c>
      <c r="D148" s="4" t="n">
        <v>381051</v>
      </c>
    </row>
    <row r="149" customFormat="false" ht="15" hidden="false" customHeight="false" outlineLevel="0" collapsed="false">
      <c r="A149" s="6" t="n">
        <v>45866</v>
      </c>
      <c r="B149" s="2" t="s">
        <v>38</v>
      </c>
      <c r="C149" s="2" t="s">
        <v>61</v>
      </c>
      <c r="D149" s="4" t="n">
        <v>211197</v>
      </c>
    </row>
    <row r="150" customFormat="false" ht="15" hidden="false" customHeight="false" outlineLevel="0" collapsed="false">
      <c r="A150" s="6" t="n">
        <v>45897</v>
      </c>
      <c r="B150" s="2" t="s">
        <v>38</v>
      </c>
      <c r="C150" s="2" t="s">
        <v>58</v>
      </c>
      <c r="D150" s="4" t="n">
        <v>651928</v>
      </c>
    </row>
    <row r="151" customFormat="false" ht="15" hidden="false" customHeight="false" outlineLevel="0" collapsed="false">
      <c r="A151" s="6" t="n">
        <v>45897</v>
      </c>
      <c r="B151" s="2" t="s">
        <v>38</v>
      </c>
      <c r="C151" s="2" t="s">
        <v>59</v>
      </c>
      <c r="D151" s="4" t="n">
        <v>593099</v>
      </c>
    </row>
    <row r="152" customFormat="false" ht="15" hidden="false" customHeight="false" outlineLevel="0" collapsed="false">
      <c r="A152" s="6" t="n">
        <v>45897</v>
      </c>
      <c r="B152" s="2" t="s">
        <v>38</v>
      </c>
      <c r="C152" s="2" t="s">
        <v>60</v>
      </c>
      <c r="D152" s="4" t="n">
        <v>304794</v>
      </c>
    </row>
    <row r="153" customFormat="false" ht="15" hidden="false" customHeight="false" outlineLevel="0" collapsed="false">
      <c r="A153" s="6" t="n">
        <v>45897</v>
      </c>
      <c r="B153" s="2" t="s">
        <v>38</v>
      </c>
      <c r="C153" s="2" t="s">
        <v>61</v>
      </c>
      <c r="D153" s="4" t="n">
        <v>183228</v>
      </c>
    </row>
    <row r="154" customFormat="false" ht="15" hidden="false" customHeight="false" outlineLevel="0" collapsed="false">
      <c r="A154" s="6" t="n">
        <v>45928</v>
      </c>
      <c r="B154" s="2" t="s">
        <v>38</v>
      </c>
      <c r="C154" s="2" t="s">
        <v>58</v>
      </c>
      <c r="D154" s="4" t="n">
        <v>526909</v>
      </c>
    </row>
    <row r="155" customFormat="false" ht="15" hidden="false" customHeight="false" outlineLevel="0" collapsed="false">
      <c r="A155" s="6" t="n">
        <v>45928</v>
      </c>
      <c r="B155" s="2" t="s">
        <v>38</v>
      </c>
      <c r="C155" s="2" t="s">
        <v>59</v>
      </c>
      <c r="D155" s="4" t="n">
        <v>369883</v>
      </c>
    </row>
    <row r="156" customFormat="false" ht="15" hidden="false" customHeight="false" outlineLevel="0" collapsed="false">
      <c r="A156" s="6" t="n">
        <v>45928</v>
      </c>
      <c r="B156" s="2" t="s">
        <v>38</v>
      </c>
      <c r="C156" s="2" t="s">
        <v>60</v>
      </c>
      <c r="D156" s="4" t="n">
        <v>317216</v>
      </c>
    </row>
    <row r="157" customFormat="false" ht="15" hidden="false" customHeight="false" outlineLevel="0" collapsed="false">
      <c r="A157" s="6" t="n">
        <v>45928</v>
      </c>
      <c r="B157" s="2" t="s">
        <v>38</v>
      </c>
      <c r="C157" s="2" t="s">
        <v>61</v>
      </c>
      <c r="D157" s="4" t="n">
        <v>124574</v>
      </c>
    </row>
    <row r="158" customFormat="false" ht="15" hidden="false" customHeight="false" outlineLevel="0" collapsed="false">
      <c r="A158" s="6" t="n">
        <v>45958</v>
      </c>
      <c r="B158" s="2" t="s">
        <v>38</v>
      </c>
      <c r="C158" s="2" t="s">
        <v>58</v>
      </c>
      <c r="D158" s="4" t="n">
        <v>640984</v>
      </c>
    </row>
    <row r="159" customFormat="false" ht="15" hidden="false" customHeight="false" outlineLevel="0" collapsed="false">
      <c r="A159" s="6" t="n">
        <v>45958</v>
      </c>
      <c r="B159" s="2" t="s">
        <v>38</v>
      </c>
      <c r="C159" s="2" t="s">
        <v>59</v>
      </c>
      <c r="D159" s="4" t="n">
        <v>417140</v>
      </c>
    </row>
    <row r="160" customFormat="false" ht="15" hidden="false" customHeight="false" outlineLevel="0" collapsed="false">
      <c r="A160" s="6" t="n">
        <v>45958</v>
      </c>
      <c r="B160" s="2" t="s">
        <v>38</v>
      </c>
      <c r="C160" s="2" t="s">
        <v>60</v>
      </c>
      <c r="D160" s="4" t="n">
        <v>356764</v>
      </c>
    </row>
    <row r="161" customFormat="false" ht="15" hidden="false" customHeight="false" outlineLevel="0" collapsed="false">
      <c r="A161" s="6" t="n">
        <v>45958</v>
      </c>
      <c r="B161" s="2" t="s">
        <v>38</v>
      </c>
      <c r="C161" s="2" t="s">
        <v>61</v>
      </c>
      <c r="D161" s="4" t="n">
        <v>166389</v>
      </c>
    </row>
    <row r="162" customFormat="false" ht="15" hidden="false" customHeight="false" outlineLevel="0" collapsed="false">
      <c r="A162" s="6" t="n">
        <v>45989</v>
      </c>
      <c r="B162" s="2" t="s">
        <v>38</v>
      </c>
      <c r="C162" s="2" t="s">
        <v>58</v>
      </c>
      <c r="D162" s="4" t="n">
        <v>546131</v>
      </c>
    </row>
    <row r="163" customFormat="false" ht="15" hidden="false" customHeight="false" outlineLevel="0" collapsed="false">
      <c r="A163" s="6" t="n">
        <v>45989</v>
      </c>
      <c r="B163" s="2" t="s">
        <v>38</v>
      </c>
      <c r="C163" s="2" t="s">
        <v>59</v>
      </c>
      <c r="D163" s="4" t="n">
        <v>433043</v>
      </c>
    </row>
    <row r="164" customFormat="false" ht="15" hidden="false" customHeight="false" outlineLevel="0" collapsed="false">
      <c r="A164" s="6" t="n">
        <v>45989</v>
      </c>
      <c r="B164" s="2" t="s">
        <v>38</v>
      </c>
      <c r="C164" s="2" t="s">
        <v>60</v>
      </c>
      <c r="D164" s="4" t="n">
        <v>278230</v>
      </c>
    </row>
    <row r="165" customFormat="false" ht="15" hidden="false" customHeight="false" outlineLevel="0" collapsed="false">
      <c r="A165" s="6" t="n">
        <v>45989</v>
      </c>
      <c r="B165" s="2" t="s">
        <v>38</v>
      </c>
      <c r="C165" s="2" t="s">
        <v>61</v>
      </c>
      <c r="D165" s="4" t="n">
        <v>122575</v>
      </c>
    </row>
    <row r="166" customFormat="false" ht="15" hidden="false" customHeight="false" outlineLevel="0" collapsed="false">
      <c r="A166" s="6" t="n">
        <v>46019</v>
      </c>
      <c r="B166" s="2" t="s">
        <v>38</v>
      </c>
      <c r="C166" s="2" t="s">
        <v>58</v>
      </c>
      <c r="D166" s="4" t="n">
        <v>881042</v>
      </c>
    </row>
    <row r="167" customFormat="false" ht="15" hidden="false" customHeight="false" outlineLevel="0" collapsed="false">
      <c r="A167" s="6" t="n">
        <v>46019</v>
      </c>
      <c r="B167" s="2" t="s">
        <v>38</v>
      </c>
      <c r="C167" s="2" t="s">
        <v>59</v>
      </c>
      <c r="D167" s="4" t="n">
        <v>498899</v>
      </c>
    </row>
    <row r="168" customFormat="false" ht="15" hidden="false" customHeight="false" outlineLevel="0" collapsed="false">
      <c r="A168" s="6" t="n">
        <v>46019</v>
      </c>
      <c r="B168" s="2" t="s">
        <v>38</v>
      </c>
      <c r="C168" s="2" t="s">
        <v>60</v>
      </c>
      <c r="D168" s="4" t="n">
        <v>369401</v>
      </c>
    </row>
    <row r="169" customFormat="false" ht="15" hidden="false" customHeight="false" outlineLevel="0" collapsed="false">
      <c r="A169" s="6" t="n">
        <v>46019</v>
      </c>
      <c r="B169" s="2" t="s">
        <v>38</v>
      </c>
      <c r="C169" s="2" t="s">
        <v>61</v>
      </c>
      <c r="D169" s="4" t="n">
        <v>203468</v>
      </c>
    </row>
    <row r="170" customFormat="false" ht="15" hidden="false" customHeight="false" outlineLevel="0" collapsed="false">
      <c r="A170" s="6" t="n">
        <v>46050</v>
      </c>
      <c r="B170" s="2" t="s">
        <v>38</v>
      </c>
      <c r="C170" s="2" t="s">
        <v>58</v>
      </c>
      <c r="D170" s="4" t="n">
        <v>331180</v>
      </c>
    </row>
    <row r="171" customFormat="false" ht="15" hidden="false" customHeight="false" outlineLevel="0" collapsed="false">
      <c r="A171" s="6" t="n">
        <v>46050</v>
      </c>
      <c r="B171" s="2" t="s">
        <v>38</v>
      </c>
      <c r="C171" s="2" t="s">
        <v>59</v>
      </c>
      <c r="D171" s="4" t="n">
        <v>271430</v>
      </c>
    </row>
    <row r="172" customFormat="false" ht="15" hidden="false" customHeight="false" outlineLevel="0" collapsed="false">
      <c r="A172" s="6" t="n">
        <v>46050</v>
      </c>
      <c r="B172" s="2" t="s">
        <v>38</v>
      </c>
      <c r="C172" s="2" t="s">
        <v>60</v>
      </c>
      <c r="D172" s="4" t="n">
        <v>185791</v>
      </c>
    </row>
    <row r="173" customFormat="false" ht="15" hidden="false" customHeight="false" outlineLevel="0" collapsed="false">
      <c r="A173" s="6" t="n">
        <v>46050</v>
      </c>
      <c r="B173" s="2" t="s">
        <v>38</v>
      </c>
      <c r="C173" s="2" t="s">
        <v>61</v>
      </c>
      <c r="D173" s="4" t="n">
        <v>87421</v>
      </c>
    </row>
    <row r="174" customFormat="false" ht="15" hidden="false" customHeight="false" outlineLevel="0" collapsed="false">
      <c r="A174" s="6" t="n">
        <v>46081</v>
      </c>
      <c r="B174" s="2" t="s">
        <v>38</v>
      </c>
      <c r="C174" s="2" t="s">
        <v>58</v>
      </c>
      <c r="D174" s="4" t="n">
        <v>667605</v>
      </c>
    </row>
    <row r="175" customFormat="false" ht="15" hidden="false" customHeight="false" outlineLevel="0" collapsed="false">
      <c r="A175" s="6" t="n">
        <v>46081</v>
      </c>
      <c r="B175" s="2" t="s">
        <v>38</v>
      </c>
      <c r="C175" s="2" t="s">
        <v>59</v>
      </c>
      <c r="D175" s="4" t="n">
        <v>607232</v>
      </c>
    </row>
    <row r="176" customFormat="false" ht="15" hidden="false" customHeight="false" outlineLevel="0" collapsed="false">
      <c r="A176" s="6" t="n">
        <v>46081</v>
      </c>
      <c r="B176" s="2" t="s">
        <v>38</v>
      </c>
      <c r="C176" s="2" t="s">
        <v>60</v>
      </c>
      <c r="D176" s="4" t="n">
        <v>335424</v>
      </c>
    </row>
    <row r="177" customFormat="false" ht="15" hidden="false" customHeight="false" outlineLevel="0" collapsed="false">
      <c r="A177" s="6" t="n">
        <v>46081</v>
      </c>
      <c r="B177" s="2" t="s">
        <v>38</v>
      </c>
      <c r="C177" s="2" t="s">
        <v>61</v>
      </c>
      <c r="D177" s="4" t="n">
        <v>180817</v>
      </c>
    </row>
    <row r="178" customFormat="false" ht="15" hidden="false" customHeight="false" outlineLevel="0" collapsed="false">
      <c r="A178" s="6" t="n">
        <v>46109</v>
      </c>
      <c r="B178" s="2" t="s">
        <v>38</v>
      </c>
      <c r="C178" s="2" t="s">
        <v>58</v>
      </c>
      <c r="D178" s="4" t="n">
        <v>446957</v>
      </c>
    </row>
    <row r="179" customFormat="false" ht="15" hidden="false" customHeight="false" outlineLevel="0" collapsed="false">
      <c r="A179" s="6" t="n">
        <v>46109</v>
      </c>
      <c r="B179" s="2" t="s">
        <v>38</v>
      </c>
      <c r="C179" s="2" t="s">
        <v>59</v>
      </c>
      <c r="D179" s="4" t="n">
        <v>300852</v>
      </c>
    </row>
    <row r="180" customFormat="false" ht="15" hidden="false" customHeight="false" outlineLevel="0" collapsed="false">
      <c r="A180" s="6" t="n">
        <v>46109</v>
      </c>
      <c r="B180" s="2" t="s">
        <v>38</v>
      </c>
      <c r="C180" s="2" t="s">
        <v>60</v>
      </c>
      <c r="D180" s="4" t="n">
        <v>216526</v>
      </c>
    </row>
    <row r="181" customFormat="false" ht="15" hidden="false" customHeight="false" outlineLevel="0" collapsed="false">
      <c r="A181" s="6" t="n">
        <v>46109</v>
      </c>
      <c r="B181" s="2" t="s">
        <v>38</v>
      </c>
      <c r="C181" s="2" t="s">
        <v>61</v>
      </c>
      <c r="D181" s="4" t="n">
        <v>110277</v>
      </c>
    </row>
    <row r="182" customFormat="false" ht="15" hidden="false" customHeight="false" outlineLevel="0" collapsed="false">
      <c r="A182" s="6" t="n">
        <v>46140</v>
      </c>
      <c r="B182" s="2" t="s">
        <v>38</v>
      </c>
      <c r="C182" s="2" t="s">
        <v>58</v>
      </c>
      <c r="D182" s="4" t="n">
        <v>794290</v>
      </c>
    </row>
    <row r="183" customFormat="false" ht="15" hidden="false" customHeight="false" outlineLevel="0" collapsed="false">
      <c r="A183" s="6" t="n">
        <v>46140</v>
      </c>
      <c r="B183" s="2" t="s">
        <v>38</v>
      </c>
      <c r="C183" s="2" t="s">
        <v>59</v>
      </c>
      <c r="D183" s="4" t="n">
        <v>541998</v>
      </c>
    </row>
    <row r="184" customFormat="false" ht="15" hidden="false" customHeight="false" outlineLevel="0" collapsed="false">
      <c r="A184" s="6" t="n">
        <v>46140</v>
      </c>
      <c r="B184" s="2" t="s">
        <v>38</v>
      </c>
      <c r="C184" s="2" t="s">
        <v>60</v>
      </c>
      <c r="D184" s="4" t="n">
        <v>322701</v>
      </c>
    </row>
    <row r="185" customFormat="false" ht="15" hidden="false" customHeight="false" outlineLevel="0" collapsed="false">
      <c r="A185" s="6" t="n">
        <v>46140</v>
      </c>
      <c r="B185" s="2" t="s">
        <v>38</v>
      </c>
      <c r="C185" s="2" t="s">
        <v>61</v>
      </c>
      <c r="D185" s="4" t="n">
        <v>185618</v>
      </c>
    </row>
    <row r="186" customFormat="false" ht="15" hidden="false" customHeight="false" outlineLevel="0" collapsed="false">
      <c r="A186" s="6" t="n">
        <v>46170</v>
      </c>
      <c r="B186" s="2" t="s">
        <v>38</v>
      </c>
      <c r="C186" s="2" t="s">
        <v>58</v>
      </c>
      <c r="D186" s="4" t="n">
        <v>639463</v>
      </c>
    </row>
    <row r="187" customFormat="false" ht="15" hidden="false" customHeight="false" outlineLevel="0" collapsed="false">
      <c r="A187" s="6" t="n">
        <v>46170</v>
      </c>
      <c r="B187" s="2" t="s">
        <v>38</v>
      </c>
      <c r="C187" s="2" t="s">
        <v>59</v>
      </c>
      <c r="D187" s="4" t="n">
        <v>550547</v>
      </c>
    </row>
    <row r="188" customFormat="false" ht="15" hidden="false" customHeight="false" outlineLevel="0" collapsed="false">
      <c r="A188" s="6" t="n">
        <v>46170</v>
      </c>
      <c r="B188" s="2" t="s">
        <v>38</v>
      </c>
      <c r="C188" s="2" t="s">
        <v>60</v>
      </c>
      <c r="D188" s="4" t="n">
        <v>372133</v>
      </c>
    </row>
    <row r="189" customFormat="false" ht="15" hidden="false" customHeight="false" outlineLevel="0" collapsed="false">
      <c r="A189" s="6" t="n">
        <v>46170</v>
      </c>
      <c r="B189" s="2" t="s">
        <v>38</v>
      </c>
      <c r="C189" s="2" t="s">
        <v>61</v>
      </c>
      <c r="D189" s="4" t="n">
        <v>153500</v>
      </c>
    </row>
    <row r="190" customFormat="false" ht="15" hidden="false" customHeight="false" outlineLevel="0" collapsed="false">
      <c r="A190" s="6" t="n">
        <v>46201</v>
      </c>
      <c r="B190" s="2" t="s">
        <v>38</v>
      </c>
      <c r="C190" s="2" t="s">
        <v>58</v>
      </c>
      <c r="D190" s="4" t="n">
        <v>329823</v>
      </c>
    </row>
    <row r="191" customFormat="false" ht="15" hidden="false" customHeight="false" outlineLevel="0" collapsed="false">
      <c r="A191" s="6" t="n">
        <v>46201</v>
      </c>
      <c r="B191" s="2" t="s">
        <v>38</v>
      </c>
      <c r="C191" s="2" t="s">
        <v>59</v>
      </c>
      <c r="D191" s="4" t="n">
        <v>230740</v>
      </c>
    </row>
    <row r="192" customFormat="false" ht="15" hidden="false" customHeight="false" outlineLevel="0" collapsed="false">
      <c r="A192" s="6" t="n">
        <v>46201</v>
      </c>
      <c r="B192" s="2" t="s">
        <v>38</v>
      </c>
      <c r="C192" s="2" t="s">
        <v>60</v>
      </c>
      <c r="D192" s="4" t="n">
        <v>191129</v>
      </c>
    </row>
    <row r="193" customFormat="false" ht="15" hidden="false" customHeight="false" outlineLevel="0" collapsed="false">
      <c r="A193" s="6" t="n">
        <v>46201</v>
      </c>
      <c r="B193" s="2" t="s">
        <v>38</v>
      </c>
      <c r="C193" s="2" t="s">
        <v>61</v>
      </c>
      <c r="D193" s="4" t="n">
        <v>84378</v>
      </c>
    </row>
    <row r="194" customFormat="false" ht="15" hidden="false" customHeight="false" outlineLevel="0" collapsed="false">
      <c r="A194" s="6" t="n">
        <v>45866</v>
      </c>
      <c r="B194" s="2" t="s">
        <v>42</v>
      </c>
      <c r="C194" s="2" t="s">
        <v>58</v>
      </c>
      <c r="D194" s="4" t="n">
        <v>3038766</v>
      </c>
    </row>
    <row r="195" customFormat="false" ht="15" hidden="false" customHeight="false" outlineLevel="0" collapsed="false">
      <c r="A195" s="6" t="n">
        <v>45866</v>
      </c>
      <c r="B195" s="2" t="s">
        <v>42</v>
      </c>
      <c r="C195" s="2" t="s">
        <v>59</v>
      </c>
      <c r="D195" s="4" t="n">
        <v>2098396</v>
      </c>
    </row>
    <row r="196" customFormat="false" ht="15" hidden="false" customHeight="false" outlineLevel="0" collapsed="false">
      <c r="A196" s="6" t="n">
        <v>45866</v>
      </c>
      <c r="B196" s="2" t="s">
        <v>42</v>
      </c>
      <c r="C196" s="2" t="s">
        <v>60</v>
      </c>
      <c r="D196" s="4" t="n">
        <v>1415214</v>
      </c>
    </row>
    <row r="197" customFormat="false" ht="15" hidden="false" customHeight="false" outlineLevel="0" collapsed="false">
      <c r="A197" s="6" t="n">
        <v>45866</v>
      </c>
      <c r="B197" s="2" t="s">
        <v>42</v>
      </c>
      <c r="C197" s="2" t="s">
        <v>61</v>
      </c>
      <c r="D197" s="4" t="n">
        <v>598581</v>
      </c>
    </row>
    <row r="198" customFormat="false" ht="15" hidden="false" customHeight="false" outlineLevel="0" collapsed="false">
      <c r="A198" s="6" t="n">
        <v>45897</v>
      </c>
      <c r="B198" s="2" t="s">
        <v>42</v>
      </c>
      <c r="C198" s="2" t="s">
        <v>58</v>
      </c>
      <c r="D198" s="4" t="n">
        <v>1397048</v>
      </c>
    </row>
    <row r="199" customFormat="false" ht="15" hidden="false" customHeight="false" outlineLevel="0" collapsed="false">
      <c r="A199" s="6" t="n">
        <v>45897</v>
      </c>
      <c r="B199" s="2" t="s">
        <v>42</v>
      </c>
      <c r="C199" s="2" t="s">
        <v>59</v>
      </c>
      <c r="D199" s="4" t="n">
        <v>945795</v>
      </c>
    </row>
    <row r="200" customFormat="false" ht="15" hidden="false" customHeight="false" outlineLevel="0" collapsed="false">
      <c r="A200" s="6" t="n">
        <v>45897</v>
      </c>
      <c r="B200" s="2" t="s">
        <v>42</v>
      </c>
      <c r="C200" s="2" t="s">
        <v>60</v>
      </c>
      <c r="D200" s="4" t="n">
        <v>704574</v>
      </c>
    </row>
    <row r="201" customFormat="false" ht="15" hidden="false" customHeight="false" outlineLevel="0" collapsed="false">
      <c r="A201" s="6" t="n">
        <v>45897</v>
      </c>
      <c r="B201" s="2" t="s">
        <v>42</v>
      </c>
      <c r="C201" s="2" t="s">
        <v>61</v>
      </c>
      <c r="D201" s="4" t="n">
        <v>338038</v>
      </c>
    </row>
    <row r="202" customFormat="false" ht="15" hidden="false" customHeight="false" outlineLevel="0" collapsed="false">
      <c r="A202" s="6" t="n">
        <v>45928</v>
      </c>
      <c r="B202" s="2" t="s">
        <v>42</v>
      </c>
      <c r="C202" s="2" t="s">
        <v>58</v>
      </c>
      <c r="D202" s="4" t="n">
        <v>1011496</v>
      </c>
    </row>
    <row r="203" customFormat="false" ht="15" hidden="false" customHeight="false" outlineLevel="0" collapsed="false">
      <c r="A203" s="6" t="n">
        <v>45928</v>
      </c>
      <c r="B203" s="2" t="s">
        <v>42</v>
      </c>
      <c r="C203" s="2" t="s">
        <v>59</v>
      </c>
      <c r="D203" s="4" t="n">
        <v>845758</v>
      </c>
    </row>
    <row r="204" customFormat="false" ht="15" hidden="false" customHeight="false" outlineLevel="0" collapsed="false">
      <c r="A204" s="6" t="n">
        <v>45928</v>
      </c>
      <c r="B204" s="2" t="s">
        <v>42</v>
      </c>
      <c r="C204" s="2" t="s">
        <v>60</v>
      </c>
      <c r="D204" s="4" t="n">
        <v>473456</v>
      </c>
    </row>
    <row r="205" customFormat="false" ht="15" hidden="false" customHeight="false" outlineLevel="0" collapsed="false">
      <c r="A205" s="6" t="n">
        <v>45928</v>
      </c>
      <c r="B205" s="2" t="s">
        <v>42</v>
      </c>
      <c r="C205" s="2" t="s">
        <v>61</v>
      </c>
      <c r="D205" s="4" t="n">
        <v>267827</v>
      </c>
    </row>
    <row r="206" customFormat="false" ht="15" hidden="false" customHeight="false" outlineLevel="0" collapsed="false">
      <c r="A206" s="6" t="n">
        <v>45958</v>
      </c>
      <c r="B206" s="2" t="s">
        <v>42</v>
      </c>
      <c r="C206" s="2" t="s">
        <v>58</v>
      </c>
      <c r="D206" s="4" t="n">
        <v>1698488</v>
      </c>
    </row>
    <row r="207" customFormat="false" ht="15" hidden="false" customHeight="false" outlineLevel="0" collapsed="false">
      <c r="A207" s="6" t="n">
        <v>45958</v>
      </c>
      <c r="B207" s="2" t="s">
        <v>42</v>
      </c>
      <c r="C207" s="2" t="s">
        <v>59</v>
      </c>
      <c r="D207" s="4" t="n">
        <v>1235822</v>
      </c>
    </row>
    <row r="208" customFormat="false" ht="15" hidden="false" customHeight="false" outlineLevel="0" collapsed="false">
      <c r="A208" s="6" t="n">
        <v>45958</v>
      </c>
      <c r="B208" s="2" t="s">
        <v>42</v>
      </c>
      <c r="C208" s="2" t="s">
        <v>60</v>
      </c>
      <c r="D208" s="4" t="n">
        <v>979690</v>
      </c>
    </row>
    <row r="209" customFormat="false" ht="15" hidden="false" customHeight="false" outlineLevel="0" collapsed="false">
      <c r="A209" s="6" t="n">
        <v>45958</v>
      </c>
      <c r="B209" s="2" t="s">
        <v>42</v>
      </c>
      <c r="C209" s="2" t="s">
        <v>61</v>
      </c>
      <c r="D209" s="4" t="n">
        <v>465604</v>
      </c>
    </row>
    <row r="210" customFormat="false" ht="15" hidden="false" customHeight="false" outlineLevel="0" collapsed="false">
      <c r="A210" s="6" t="n">
        <v>45989</v>
      </c>
      <c r="B210" s="2" t="s">
        <v>42</v>
      </c>
      <c r="C210" s="2" t="s">
        <v>58</v>
      </c>
      <c r="D210" s="4" t="n">
        <v>2069957</v>
      </c>
    </row>
    <row r="211" customFormat="false" ht="15" hidden="false" customHeight="false" outlineLevel="0" collapsed="false">
      <c r="A211" s="6" t="n">
        <v>45989</v>
      </c>
      <c r="B211" s="2" t="s">
        <v>42</v>
      </c>
      <c r="C211" s="2" t="s">
        <v>59</v>
      </c>
      <c r="D211" s="4" t="n">
        <v>1479709</v>
      </c>
    </row>
    <row r="212" customFormat="false" ht="15" hidden="false" customHeight="false" outlineLevel="0" collapsed="false">
      <c r="A212" s="6" t="n">
        <v>45989</v>
      </c>
      <c r="B212" s="2" t="s">
        <v>42</v>
      </c>
      <c r="C212" s="2" t="s">
        <v>60</v>
      </c>
      <c r="D212" s="4" t="n">
        <v>1069815</v>
      </c>
    </row>
    <row r="213" customFormat="false" ht="15" hidden="false" customHeight="false" outlineLevel="0" collapsed="false">
      <c r="A213" s="6" t="n">
        <v>45989</v>
      </c>
      <c r="B213" s="2" t="s">
        <v>42</v>
      </c>
      <c r="C213" s="2" t="s">
        <v>61</v>
      </c>
      <c r="D213" s="4" t="n">
        <v>559403</v>
      </c>
    </row>
    <row r="214" customFormat="false" ht="15" hidden="false" customHeight="false" outlineLevel="0" collapsed="false">
      <c r="A214" s="6" t="n">
        <v>46019</v>
      </c>
      <c r="B214" s="2" t="s">
        <v>42</v>
      </c>
      <c r="C214" s="2" t="s">
        <v>58</v>
      </c>
      <c r="D214" s="4" t="n">
        <v>2355500</v>
      </c>
    </row>
    <row r="215" customFormat="false" ht="15" hidden="false" customHeight="false" outlineLevel="0" collapsed="false">
      <c r="A215" s="6" t="n">
        <v>46019</v>
      </c>
      <c r="B215" s="2" t="s">
        <v>42</v>
      </c>
      <c r="C215" s="2" t="s">
        <v>59</v>
      </c>
      <c r="D215" s="4" t="n">
        <v>1982028</v>
      </c>
    </row>
    <row r="216" customFormat="false" ht="15" hidden="false" customHeight="false" outlineLevel="0" collapsed="false">
      <c r="A216" s="6" t="n">
        <v>46019</v>
      </c>
      <c r="B216" s="2" t="s">
        <v>42</v>
      </c>
      <c r="C216" s="2" t="s">
        <v>60</v>
      </c>
      <c r="D216" s="4" t="n">
        <v>1304503</v>
      </c>
    </row>
    <row r="217" customFormat="false" ht="15" hidden="false" customHeight="false" outlineLevel="0" collapsed="false">
      <c r="A217" s="6" t="n">
        <v>46019</v>
      </c>
      <c r="B217" s="2" t="s">
        <v>42</v>
      </c>
      <c r="C217" s="2" t="s">
        <v>61</v>
      </c>
      <c r="D217" s="4" t="n">
        <v>552906</v>
      </c>
    </row>
    <row r="218" customFormat="false" ht="15" hidden="false" customHeight="false" outlineLevel="0" collapsed="false">
      <c r="A218" s="6" t="n">
        <v>46050</v>
      </c>
      <c r="B218" s="2" t="s">
        <v>42</v>
      </c>
      <c r="C218" s="2" t="s">
        <v>58</v>
      </c>
      <c r="D218" s="4" t="n">
        <v>2158060</v>
      </c>
    </row>
    <row r="219" customFormat="false" ht="15" hidden="false" customHeight="false" outlineLevel="0" collapsed="false">
      <c r="A219" s="6" t="n">
        <v>46050</v>
      </c>
      <c r="B219" s="2" t="s">
        <v>42</v>
      </c>
      <c r="C219" s="2" t="s">
        <v>59</v>
      </c>
      <c r="D219" s="4" t="n">
        <v>1873982</v>
      </c>
    </row>
    <row r="220" customFormat="false" ht="15" hidden="false" customHeight="false" outlineLevel="0" collapsed="false">
      <c r="A220" s="6" t="n">
        <v>46050</v>
      </c>
      <c r="B220" s="2" t="s">
        <v>42</v>
      </c>
      <c r="C220" s="2" t="s">
        <v>60</v>
      </c>
      <c r="D220" s="4" t="n">
        <v>1023061</v>
      </c>
    </row>
    <row r="221" customFormat="false" ht="15" hidden="false" customHeight="false" outlineLevel="0" collapsed="false">
      <c r="A221" s="6" t="n">
        <v>46050</v>
      </c>
      <c r="B221" s="2" t="s">
        <v>42</v>
      </c>
      <c r="C221" s="2" t="s">
        <v>61</v>
      </c>
      <c r="D221" s="4" t="n">
        <v>494173</v>
      </c>
    </row>
    <row r="222" customFormat="false" ht="15" hidden="false" customHeight="false" outlineLevel="0" collapsed="false">
      <c r="A222" s="6" t="n">
        <v>46081</v>
      </c>
      <c r="B222" s="2" t="s">
        <v>42</v>
      </c>
      <c r="C222" s="2" t="s">
        <v>58</v>
      </c>
      <c r="D222" s="4" t="n">
        <v>3000411</v>
      </c>
    </row>
    <row r="223" customFormat="false" ht="15" hidden="false" customHeight="false" outlineLevel="0" collapsed="false">
      <c r="A223" s="6" t="n">
        <v>46081</v>
      </c>
      <c r="B223" s="2" t="s">
        <v>42</v>
      </c>
      <c r="C223" s="2" t="s">
        <v>59</v>
      </c>
      <c r="D223" s="4" t="n">
        <v>2054710</v>
      </c>
    </row>
    <row r="224" customFormat="false" ht="15" hidden="false" customHeight="false" outlineLevel="0" collapsed="false">
      <c r="A224" s="6" t="n">
        <v>46081</v>
      </c>
      <c r="B224" s="2" t="s">
        <v>42</v>
      </c>
      <c r="C224" s="2" t="s">
        <v>60</v>
      </c>
      <c r="D224" s="4" t="n">
        <v>1549207</v>
      </c>
    </row>
    <row r="225" customFormat="false" ht="15" hidden="false" customHeight="false" outlineLevel="0" collapsed="false">
      <c r="A225" s="6" t="n">
        <v>46081</v>
      </c>
      <c r="B225" s="2" t="s">
        <v>42</v>
      </c>
      <c r="C225" s="2" t="s">
        <v>61</v>
      </c>
      <c r="D225" s="4" t="n">
        <v>709947</v>
      </c>
    </row>
    <row r="226" customFormat="false" ht="15" hidden="false" customHeight="false" outlineLevel="0" collapsed="false">
      <c r="A226" s="6" t="n">
        <v>46109</v>
      </c>
      <c r="B226" s="2" t="s">
        <v>42</v>
      </c>
      <c r="C226" s="2" t="s">
        <v>58</v>
      </c>
      <c r="D226" s="4" t="n">
        <v>2313148</v>
      </c>
    </row>
    <row r="227" customFormat="false" ht="15" hidden="false" customHeight="false" outlineLevel="0" collapsed="false">
      <c r="A227" s="6" t="n">
        <v>46109</v>
      </c>
      <c r="B227" s="2" t="s">
        <v>42</v>
      </c>
      <c r="C227" s="2" t="s">
        <v>59</v>
      </c>
      <c r="D227" s="4" t="n">
        <v>1599591</v>
      </c>
    </row>
    <row r="228" customFormat="false" ht="15" hidden="false" customHeight="false" outlineLevel="0" collapsed="false">
      <c r="A228" s="6" t="n">
        <v>46109</v>
      </c>
      <c r="B228" s="2" t="s">
        <v>42</v>
      </c>
      <c r="C228" s="2" t="s">
        <v>60</v>
      </c>
      <c r="D228" s="4" t="n">
        <v>1259593</v>
      </c>
    </row>
    <row r="229" customFormat="false" ht="15" hidden="false" customHeight="false" outlineLevel="0" collapsed="false">
      <c r="A229" s="6" t="n">
        <v>46109</v>
      </c>
      <c r="B229" s="2" t="s">
        <v>42</v>
      </c>
      <c r="C229" s="2" t="s">
        <v>61</v>
      </c>
      <c r="D229" s="4" t="n">
        <v>666472</v>
      </c>
    </row>
    <row r="230" customFormat="false" ht="15" hidden="false" customHeight="false" outlineLevel="0" collapsed="false">
      <c r="A230" s="6" t="n">
        <v>46140</v>
      </c>
      <c r="B230" s="2" t="s">
        <v>42</v>
      </c>
      <c r="C230" s="2" t="s">
        <v>58</v>
      </c>
      <c r="D230" s="4" t="n">
        <v>1456094</v>
      </c>
    </row>
    <row r="231" customFormat="false" ht="15" hidden="false" customHeight="false" outlineLevel="0" collapsed="false">
      <c r="A231" s="6" t="n">
        <v>46140</v>
      </c>
      <c r="B231" s="2" t="s">
        <v>42</v>
      </c>
      <c r="C231" s="2" t="s">
        <v>59</v>
      </c>
      <c r="D231" s="4" t="n">
        <v>922873</v>
      </c>
    </row>
    <row r="232" customFormat="false" ht="15" hidden="false" customHeight="false" outlineLevel="0" collapsed="false">
      <c r="A232" s="6" t="n">
        <v>46140</v>
      </c>
      <c r="B232" s="2" t="s">
        <v>42</v>
      </c>
      <c r="C232" s="2" t="s">
        <v>60</v>
      </c>
      <c r="D232" s="4" t="n">
        <v>733225</v>
      </c>
    </row>
    <row r="233" customFormat="false" ht="15" hidden="false" customHeight="false" outlineLevel="0" collapsed="false">
      <c r="A233" s="6" t="n">
        <v>46140</v>
      </c>
      <c r="B233" s="2" t="s">
        <v>42</v>
      </c>
      <c r="C233" s="2" t="s">
        <v>61</v>
      </c>
      <c r="D233" s="4" t="n">
        <v>355708</v>
      </c>
    </row>
    <row r="234" customFormat="false" ht="15" hidden="false" customHeight="false" outlineLevel="0" collapsed="false">
      <c r="A234" s="6" t="n">
        <v>46170</v>
      </c>
      <c r="B234" s="2" t="s">
        <v>42</v>
      </c>
      <c r="C234" s="2" t="s">
        <v>58</v>
      </c>
      <c r="D234" s="4" t="n">
        <v>2020363</v>
      </c>
    </row>
    <row r="235" customFormat="false" ht="15" hidden="false" customHeight="false" outlineLevel="0" collapsed="false">
      <c r="A235" s="6" t="n">
        <v>46170</v>
      </c>
      <c r="B235" s="2" t="s">
        <v>42</v>
      </c>
      <c r="C235" s="2" t="s">
        <v>59</v>
      </c>
      <c r="D235" s="4" t="n">
        <v>1193654</v>
      </c>
    </row>
    <row r="236" customFormat="false" ht="15" hidden="false" customHeight="false" outlineLevel="0" collapsed="false">
      <c r="A236" s="6" t="n">
        <v>46170</v>
      </c>
      <c r="B236" s="2" t="s">
        <v>42</v>
      </c>
      <c r="C236" s="2" t="s">
        <v>60</v>
      </c>
      <c r="D236" s="4" t="n">
        <v>798996</v>
      </c>
    </row>
    <row r="237" customFormat="false" ht="15" hidden="false" customHeight="false" outlineLevel="0" collapsed="false">
      <c r="A237" s="6" t="n">
        <v>46170</v>
      </c>
      <c r="B237" s="2" t="s">
        <v>42</v>
      </c>
      <c r="C237" s="2" t="s">
        <v>61</v>
      </c>
      <c r="D237" s="4" t="n">
        <v>444112</v>
      </c>
    </row>
    <row r="238" customFormat="false" ht="15" hidden="false" customHeight="false" outlineLevel="0" collapsed="false">
      <c r="A238" s="6" t="n">
        <v>46201</v>
      </c>
      <c r="B238" s="2" t="s">
        <v>42</v>
      </c>
      <c r="C238" s="2" t="s">
        <v>58</v>
      </c>
      <c r="D238" s="4" t="n">
        <v>2640250</v>
      </c>
    </row>
    <row r="239" customFormat="false" ht="15" hidden="false" customHeight="false" outlineLevel="0" collapsed="false">
      <c r="A239" s="6" t="n">
        <v>46201</v>
      </c>
      <c r="B239" s="2" t="s">
        <v>42</v>
      </c>
      <c r="C239" s="2" t="s">
        <v>59</v>
      </c>
      <c r="D239" s="4" t="n">
        <v>2255442</v>
      </c>
    </row>
    <row r="240" customFormat="false" ht="15" hidden="false" customHeight="false" outlineLevel="0" collapsed="false">
      <c r="A240" s="6" t="n">
        <v>46201</v>
      </c>
      <c r="B240" s="2" t="s">
        <v>42</v>
      </c>
      <c r="C240" s="2" t="s">
        <v>60</v>
      </c>
      <c r="D240" s="4" t="n">
        <v>1372616</v>
      </c>
    </row>
    <row r="241" customFormat="false" ht="15" hidden="false" customHeight="false" outlineLevel="0" collapsed="false">
      <c r="A241" s="6" t="n">
        <v>46201</v>
      </c>
      <c r="B241" s="2" t="s">
        <v>42</v>
      </c>
      <c r="C241" s="2" t="s">
        <v>61</v>
      </c>
      <c r="D241" s="4" t="n">
        <v>764333</v>
      </c>
    </row>
    <row r="242" customFormat="false" ht="15" hidden="false" customHeight="false" outlineLevel="0" collapsed="false">
      <c r="A242" s="6" t="n">
        <v>45866</v>
      </c>
      <c r="B242" s="2" t="s">
        <v>45</v>
      </c>
      <c r="C242" s="2" t="s">
        <v>58</v>
      </c>
      <c r="D242" s="4" t="n">
        <v>571385</v>
      </c>
    </row>
    <row r="243" customFormat="false" ht="15" hidden="false" customHeight="false" outlineLevel="0" collapsed="false">
      <c r="A243" s="6" t="n">
        <v>45866</v>
      </c>
      <c r="B243" s="2" t="s">
        <v>45</v>
      </c>
      <c r="C243" s="2" t="s">
        <v>59</v>
      </c>
      <c r="D243" s="4" t="n">
        <v>479110</v>
      </c>
    </row>
    <row r="244" customFormat="false" ht="15" hidden="false" customHeight="false" outlineLevel="0" collapsed="false">
      <c r="A244" s="6" t="n">
        <v>45866</v>
      </c>
      <c r="B244" s="2" t="s">
        <v>45</v>
      </c>
      <c r="C244" s="2" t="s">
        <v>60</v>
      </c>
      <c r="D244" s="4" t="n">
        <v>335032</v>
      </c>
    </row>
    <row r="245" customFormat="false" ht="15" hidden="false" customHeight="false" outlineLevel="0" collapsed="false">
      <c r="A245" s="6" t="n">
        <v>45866</v>
      </c>
      <c r="B245" s="2" t="s">
        <v>45</v>
      </c>
      <c r="C245" s="2" t="s">
        <v>61</v>
      </c>
      <c r="D245" s="4" t="n">
        <v>126449</v>
      </c>
    </row>
    <row r="246" customFormat="false" ht="15" hidden="false" customHeight="false" outlineLevel="0" collapsed="false">
      <c r="A246" s="6" t="n">
        <v>45897</v>
      </c>
      <c r="B246" s="2" t="s">
        <v>45</v>
      </c>
      <c r="C246" s="2" t="s">
        <v>58</v>
      </c>
      <c r="D246" s="4" t="n">
        <v>978128</v>
      </c>
    </row>
    <row r="247" customFormat="false" ht="15" hidden="false" customHeight="false" outlineLevel="0" collapsed="false">
      <c r="A247" s="6" t="n">
        <v>45897</v>
      </c>
      <c r="B247" s="2" t="s">
        <v>45</v>
      </c>
      <c r="C247" s="2" t="s">
        <v>59</v>
      </c>
      <c r="D247" s="4" t="n">
        <v>836813</v>
      </c>
    </row>
    <row r="248" customFormat="false" ht="15" hidden="false" customHeight="false" outlineLevel="0" collapsed="false">
      <c r="A248" s="6" t="n">
        <v>45897</v>
      </c>
      <c r="B248" s="2" t="s">
        <v>45</v>
      </c>
      <c r="C248" s="2" t="s">
        <v>60</v>
      </c>
      <c r="D248" s="4" t="n">
        <v>462712</v>
      </c>
    </row>
    <row r="249" customFormat="false" ht="15" hidden="false" customHeight="false" outlineLevel="0" collapsed="false">
      <c r="A249" s="6" t="n">
        <v>45897</v>
      </c>
      <c r="B249" s="2" t="s">
        <v>45</v>
      </c>
      <c r="C249" s="2" t="s">
        <v>61</v>
      </c>
      <c r="D249" s="4" t="n">
        <v>238106</v>
      </c>
    </row>
    <row r="250" customFormat="false" ht="15" hidden="false" customHeight="false" outlineLevel="0" collapsed="false">
      <c r="A250" s="6" t="n">
        <v>45928</v>
      </c>
      <c r="B250" s="2" t="s">
        <v>45</v>
      </c>
      <c r="C250" s="2" t="s">
        <v>58</v>
      </c>
      <c r="D250" s="4" t="n">
        <v>415200</v>
      </c>
    </row>
    <row r="251" customFormat="false" ht="15" hidden="false" customHeight="false" outlineLevel="0" collapsed="false">
      <c r="A251" s="6" t="n">
        <v>45928</v>
      </c>
      <c r="B251" s="2" t="s">
        <v>45</v>
      </c>
      <c r="C251" s="2" t="s">
        <v>59</v>
      </c>
      <c r="D251" s="4" t="n">
        <v>329541</v>
      </c>
    </row>
    <row r="252" customFormat="false" ht="15" hidden="false" customHeight="false" outlineLevel="0" collapsed="false">
      <c r="A252" s="6" t="n">
        <v>45928</v>
      </c>
      <c r="B252" s="2" t="s">
        <v>45</v>
      </c>
      <c r="C252" s="2" t="s">
        <v>60</v>
      </c>
      <c r="D252" s="4" t="n">
        <v>223711</v>
      </c>
    </row>
    <row r="253" customFormat="false" ht="15" hidden="false" customHeight="false" outlineLevel="0" collapsed="false">
      <c r="A253" s="6" t="n">
        <v>45928</v>
      </c>
      <c r="B253" s="2" t="s">
        <v>45</v>
      </c>
      <c r="C253" s="2" t="s">
        <v>61</v>
      </c>
      <c r="D253" s="4" t="n">
        <v>114871</v>
      </c>
    </row>
    <row r="254" customFormat="false" ht="15" hidden="false" customHeight="false" outlineLevel="0" collapsed="false">
      <c r="A254" s="6" t="n">
        <v>45958</v>
      </c>
      <c r="B254" s="2" t="s">
        <v>45</v>
      </c>
      <c r="C254" s="2" t="s">
        <v>58</v>
      </c>
      <c r="D254" s="4" t="n">
        <v>458183</v>
      </c>
    </row>
    <row r="255" customFormat="false" ht="15" hidden="false" customHeight="false" outlineLevel="0" collapsed="false">
      <c r="A255" s="6" t="n">
        <v>45958</v>
      </c>
      <c r="B255" s="2" t="s">
        <v>45</v>
      </c>
      <c r="C255" s="2" t="s">
        <v>59</v>
      </c>
      <c r="D255" s="4" t="n">
        <v>333617</v>
      </c>
    </row>
    <row r="256" customFormat="false" ht="15" hidden="false" customHeight="false" outlineLevel="0" collapsed="false">
      <c r="A256" s="6" t="n">
        <v>45958</v>
      </c>
      <c r="B256" s="2" t="s">
        <v>45</v>
      </c>
      <c r="C256" s="2" t="s">
        <v>60</v>
      </c>
      <c r="D256" s="4" t="n">
        <v>241739</v>
      </c>
    </row>
    <row r="257" customFormat="false" ht="15" hidden="false" customHeight="false" outlineLevel="0" collapsed="false">
      <c r="A257" s="6" t="n">
        <v>45958</v>
      </c>
      <c r="B257" s="2" t="s">
        <v>45</v>
      </c>
      <c r="C257" s="2" t="s">
        <v>61</v>
      </c>
      <c r="D257" s="4" t="n">
        <v>125331</v>
      </c>
    </row>
    <row r="258" customFormat="false" ht="15" hidden="false" customHeight="false" outlineLevel="0" collapsed="false">
      <c r="A258" s="6" t="n">
        <v>45989</v>
      </c>
      <c r="B258" s="2" t="s">
        <v>45</v>
      </c>
      <c r="C258" s="2" t="s">
        <v>58</v>
      </c>
      <c r="D258" s="4" t="n">
        <v>702925</v>
      </c>
    </row>
    <row r="259" customFormat="false" ht="15" hidden="false" customHeight="false" outlineLevel="0" collapsed="false">
      <c r="A259" s="6" t="n">
        <v>45989</v>
      </c>
      <c r="B259" s="2" t="s">
        <v>45</v>
      </c>
      <c r="C259" s="2" t="s">
        <v>59</v>
      </c>
      <c r="D259" s="4" t="n">
        <v>535788</v>
      </c>
    </row>
    <row r="260" customFormat="false" ht="15" hidden="false" customHeight="false" outlineLevel="0" collapsed="false">
      <c r="A260" s="6" t="n">
        <v>45989</v>
      </c>
      <c r="B260" s="2" t="s">
        <v>45</v>
      </c>
      <c r="C260" s="2" t="s">
        <v>60</v>
      </c>
      <c r="D260" s="4" t="n">
        <v>315368</v>
      </c>
    </row>
    <row r="261" customFormat="false" ht="15" hidden="false" customHeight="false" outlineLevel="0" collapsed="false">
      <c r="A261" s="6" t="n">
        <v>45989</v>
      </c>
      <c r="B261" s="2" t="s">
        <v>45</v>
      </c>
      <c r="C261" s="2" t="s">
        <v>61</v>
      </c>
      <c r="D261" s="4" t="n">
        <v>175141</v>
      </c>
    </row>
    <row r="262" customFormat="false" ht="15" hidden="false" customHeight="false" outlineLevel="0" collapsed="false">
      <c r="A262" s="6" t="n">
        <v>46019</v>
      </c>
      <c r="B262" s="2" t="s">
        <v>45</v>
      </c>
      <c r="C262" s="2" t="s">
        <v>58</v>
      </c>
      <c r="D262" s="4" t="n">
        <v>403951</v>
      </c>
    </row>
    <row r="263" customFormat="false" ht="15" hidden="false" customHeight="false" outlineLevel="0" collapsed="false">
      <c r="A263" s="6" t="n">
        <v>46019</v>
      </c>
      <c r="B263" s="2" t="s">
        <v>45</v>
      </c>
      <c r="C263" s="2" t="s">
        <v>59</v>
      </c>
      <c r="D263" s="4" t="n">
        <v>338757</v>
      </c>
    </row>
    <row r="264" customFormat="false" ht="15" hidden="false" customHeight="false" outlineLevel="0" collapsed="false">
      <c r="A264" s="6" t="n">
        <v>46019</v>
      </c>
      <c r="B264" s="2" t="s">
        <v>45</v>
      </c>
      <c r="C264" s="2" t="s">
        <v>60</v>
      </c>
      <c r="D264" s="4" t="n">
        <v>256179</v>
      </c>
    </row>
    <row r="265" customFormat="false" ht="15" hidden="false" customHeight="false" outlineLevel="0" collapsed="false">
      <c r="A265" s="6" t="n">
        <v>46019</v>
      </c>
      <c r="B265" s="2" t="s">
        <v>45</v>
      </c>
      <c r="C265" s="2" t="s">
        <v>61</v>
      </c>
      <c r="D265" s="4" t="n">
        <v>104373</v>
      </c>
    </row>
    <row r="266" customFormat="false" ht="15" hidden="false" customHeight="false" outlineLevel="0" collapsed="false">
      <c r="A266" s="6" t="n">
        <v>46050</v>
      </c>
      <c r="B266" s="2" t="s">
        <v>45</v>
      </c>
      <c r="C266" s="2" t="s">
        <v>58</v>
      </c>
      <c r="D266" s="4" t="n">
        <v>497935</v>
      </c>
    </row>
    <row r="267" customFormat="false" ht="15" hidden="false" customHeight="false" outlineLevel="0" collapsed="false">
      <c r="A267" s="6" t="n">
        <v>46050</v>
      </c>
      <c r="B267" s="2" t="s">
        <v>45</v>
      </c>
      <c r="C267" s="2" t="s">
        <v>59</v>
      </c>
      <c r="D267" s="4" t="n">
        <v>360140</v>
      </c>
    </row>
    <row r="268" customFormat="false" ht="15" hidden="false" customHeight="false" outlineLevel="0" collapsed="false">
      <c r="A268" s="6" t="n">
        <v>46050</v>
      </c>
      <c r="B268" s="2" t="s">
        <v>45</v>
      </c>
      <c r="C268" s="2" t="s">
        <v>60</v>
      </c>
      <c r="D268" s="4" t="n">
        <v>281144</v>
      </c>
    </row>
    <row r="269" customFormat="false" ht="15" hidden="false" customHeight="false" outlineLevel="0" collapsed="false">
      <c r="A269" s="6" t="n">
        <v>46050</v>
      </c>
      <c r="B269" s="2" t="s">
        <v>45</v>
      </c>
      <c r="C269" s="2" t="s">
        <v>61</v>
      </c>
      <c r="D269" s="4" t="n">
        <v>117804</v>
      </c>
    </row>
    <row r="270" customFormat="false" ht="15" hidden="false" customHeight="false" outlineLevel="0" collapsed="false">
      <c r="A270" s="6" t="n">
        <v>46081</v>
      </c>
      <c r="B270" s="2" t="s">
        <v>45</v>
      </c>
      <c r="C270" s="2" t="s">
        <v>58</v>
      </c>
      <c r="D270" s="4" t="n">
        <v>711842</v>
      </c>
    </row>
    <row r="271" customFormat="false" ht="15" hidden="false" customHeight="false" outlineLevel="0" collapsed="false">
      <c r="A271" s="6" t="n">
        <v>46081</v>
      </c>
      <c r="B271" s="2" t="s">
        <v>45</v>
      </c>
      <c r="C271" s="2" t="s">
        <v>59</v>
      </c>
      <c r="D271" s="4" t="n">
        <v>480817</v>
      </c>
    </row>
    <row r="272" customFormat="false" ht="15" hidden="false" customHeight="false" outlineLevel="0" collapsed="false">
      <c r="A272" s="6" t="n">
        <v>46081</v>
      </c>
      <c r="B272" s="2" t="s">
        <v>45</v>
      </c>
      <c r="C272" s="2" t="s">
        <v>60</v>
      </c>
      <c r="D272" s="4" t="n">
        <v>347588</v>
      </c>
    </row>
    <row r="273" customFormat="false" ht="15" hidden="false" customHeight="false" outlineLevel="0" collapsed="false">
      <c r="A273" s="6" t="n">
        <v>46081</v>
      </c>
      <c r="B273" s="2" t="s">
        <v>45</v>
      </c>
      <c r="C273" s="2" t="s">
        <v>61</v>
      </c>
      <c r="D273" s="4" t="n">
        <v>139983</v>
      </c>
    </row>
    <row r="274" customFormat="false" ht="15" hidden="false" customHeight="false" outlineLevel="0" collapsed="false">
      <c r="A274" s="6" t="n">
        <v>46109</v>
      </c>
      <c r="B274" s="2" t="s">
        <v>45</v>
      </c>
      <c r="C274" s="2" t="s">
        <v>58</v>
      </c>
      <c r="D274" s="4" t="n">
        <v>511442</v>
      </c>
    </row>
    <row r="275" customFormat="false" ht="15" hidden="false" customHeight="false" outlineLevel="0" collapsed="false">
      <c r="A275" s="6" t="n">
        <v>46109</v>
      </c>
      <c r="B275" s="2" t="s">
        <v>45</v>
      </c>
      <c r="C275" s="2" t="s">
        <v>59</v>
      </c>
      <c r="D275" s="4" t="n">
        <v>501046</v>
      </c>
    </row>
    <row r="276" customFormat="false" ht="15" hidden="false" customHeight="false" outlineLevel="0" collapsed="false">
      <c r="A276" s="6" t="n">
        <v>46109</v>
      </c>
      <c r="B276" s="2" t="s">
        <v>45</v>
      </c>
      <c r="C276" s="2" t="s">
        <v>60</v>
      </c>
      <c r="D276" s="4" t="n">
        <v>253222</v>
      </c>
    </row>
    <row r="277" customFormat="false" ht="15" hidden="false" customHeight="false" outlineLevel="0" collapsed="false">
      <c r="A277" s="6" t="n">
        <v>46109</v>
      </c>
      <c r="B277" s="2" t="s">
        <v>45</v>
      </c>
      <c r="C277" s="2" t="s">
        <v>61</v>
      </c>
      <c r="D277" s="4" t="n">
        <v>126204</v>
      </c>
    </row>
    <row r="278" customFormat="false" ht="15" hidden="false" customHeight="false" outlineLevel="0" collapsed="false">
      <c r="A278" s="6" t="n">
        <v>46140</v>
      </c>
      <c r="B278" s="2" t="s">
        <v>45</v>
      </c>
      <c r="C278" s="2" t="s">
        <v>58</v>
      </c>
      <c r="D278" s="4" t="n">
        <v>707810</v>
      </c>
    </row>
    <row r="279" customFormat="false" ht="15" hidden="false" customHeight="false" outlineLevel="0" collapsed="false">
      <c r="A279" s="6" t="n">
        <v>46140</v>
      </c>
      <c r="B279" s="2" t="s">
        <v>45</v>
      </c>
      <c r="C279" s="2" t="s">
        <v>59</v>
      </c>
      <c r="D279" s="4" t="n">
        <v>472036</v>
      </c>
    </row>
    <row r="280" customFormat="false" ht="15" hidden="false" customHeight="false" outlineLevel="0" collapsed="false">
      <c r="A280" s="6" t="n">
        <v>46140</v>
      </c>
      <c r="B280" s="2" t="s">
        <v>45</v>
      </c>
      <c r="C280" s="2" t="s">
        <v>60</v>
      </c>
      <c r="D280" s="4" t="n">
        <v>338767</v>
      </c>
    </row>
    <row r="281" customFormat="false" ht="15" hidden="false" customHeight="false" outlineLevel="0" collapsed="false">
      <c r="A281" s="6" t="n">
        <v>46140</v>
      </c>
      <c r="B281" s="2" t="s">
        <v>45</v>
      </c>
      <c r="C281" s="2" t="s">
        <v>61</v>
      </c>
      <c r="D281" s="4" t="n">
        <v>150986</v>
      </c>
    </row>
    <row r="282" customFormat="false" ht="15" hidden="false" customHeight="false" outlineLevel="0" collapsed="false">
      <c r="A282" s="6" t="n">
        <v>46170</v>
      </c>
      <c r="B282" s="2" t="s">
        <v>45</v>
      </c>
      <c r="C282" s="2" t="s">
        <v>58</v>
      </c>
      <c r="D282" s="4" t="n">
        <v>368475</v>
      </c>
    </row>
    <row r="283" customFormat="false" ht="15" hidden="false" customHeight="false" outlineLevel="0" collapsed="false">
      <c r="A283" s="6" t="n">
        <v>46170</v>
      </c>
      <c r="B283" s="2" t="s">
        <v>45</v>
      </c>
      <c r="C283" s="2" t="s">
        <v>59</v>
      </c>
      <c r="D283" s="4" t="n">
        <v>286432</v>
      </c>
    </row>
    <row r="284" customFormat="false" ht="15" hidden="false" customHeight="false" outlineLevel="0" collapsed="false">
      <c r="A284" s="6" t="n">
        <v>46170</v>
      </c>
      <c r="B284" s="2" t="s">
        <v>45</v>
      </c>
      <c r="C284" s="2" t="s">
        <v>60</v>
      </c>
      <c r="D284" s="4" t="n">
        <v>205088</v>
      </c>
    </row>
    <row r="285" customFormat="false" ht="15" hidden="false" customHeight="false" outlineLevel="0" collapsed="false">
      <c r="A285" s="6" t="n">
        <v>46170</v>
      </c>
      <c r="B285" s="2" t="s">
        <v>45</v>
      </c>
      <c r="C285" s="2" t="s">
        <v>61</v>
      </c>
      <c r="D285" s="4" t="n">
        <v>113213</v>
      </c>
    </row>
    <row r="286" customFormat="false" ht="15" hidden="false" customHeight="false" outlineLevel="0" collapsed="false">
      <c r="A286" s="6" t="n">
        <v>46201</v>
      </c>
      <c r="B286" s="2" t="s">
        <v>45</v>
      </c>
      <c r="C286" s="2" t="s">
        <v>58</v>
      </c>
      <c r="D286" s="4" t="n">
        <v>847350</v>
      </c>
    </row>
    <row r="287" customFormat="false" ht="15" hidden="false" customHeight="false" outlineLevel="0" collapsed="false">
      <c r="A287" s="6" t="n">
        <v>46201</v>
      </c>
      <c r="B287" s="2" t="s">
        <v>45</v>
      </c>
      <c r="C287" s="2" t="s">
        <v>59</v>
      </c>
      <c r="D287" s="4" t="n">
        <v>666741</v>
      </c>
    </row>
    <row r="288" customFormat="false" ht="15" hidden="false" customHeight="false" outlineLevel="0" collapsed="false">
      <c r="A288" s="6" t="n">
        <v>46201</v>
      </c>
      <c r="B288" s="2" t="s">
        <v>45</v>
      </c>
      <c r="C288" s="2" t="s">
        <v>60</v>
      </c>
      <c r="D288" s="4" t="n">
        <v>482329</v>
      </c>
    </row>
    <row r="289" customFormat="false" ht="15" hidden="false" customHeight="false" outlineLevel="0" collapsed="false">
      <c r="A289" s="6" t="n">
        <v>46201</v>
      </c>
      <c r="B289" s="2" t="s">
        <v>45</v>
      </c>
      <c r="C289" s="2" t="s">
        <v>61</v>
      </c>
      <c r="D289" s="4" t="n">
        <v>265917</v>
      </c>
    </row>
    <row r="290" customFormat="false" ht="15" hidden="false" customHeight="false" outlineLevel="0" collapsed="false">
      <c r="A290" s="6" t="n">
        <v>45866</v>
      </c>
      <c r="B290" s="2" t="s">
        <v>49</v>
      </c>
      <c r="C290" s="2" t="s">
        <v>58</v>
      </c>
      <c r="D290" s="4" t="n">
        <v>168273</v>
      </c>
    </row>
    <row r="291" customFormat="false" ht="15" hidden="false" customHeight="false" outlineLevel="0" collapsed="false">
      <c r="A291" s="6" t="n">
        <v>45866</v>
      </c>
      <c r="B291" s="2" t="s">
        <v>49</v>
      </c>
      <c r="C291" s="2" t="s">
        <v>59</v>
      </c>
      <c r="D291" s="4" t="n">
        <v>116516</v>
      </c>
    </row>
    <row r="292" customFormat="false" ht="15" hidden="false" customHeight="false" outlineLevel="0" collapsed="false">
      <c r="A292" s="6" t="n">
        <v>45866</v>
      </c>
      <c r="B292" s="2" t="s">
        <v>49</v>
      </c>
      <c r="C292" s="2" t="s">
        <v>60</v>
      </c>
      <c r="D292" s="4" t="n">
        <v>84766</v>
      </c>
    </row>
    <row r="293" customFormat="false" ht="15" hidden="false" customHeight="false" outlineLevel="0" collapsed="false">
      <c r="A293" s="6" t="n">
        <v>45866</v>
      </c>
      <c r="B293" s="2" t="s">
        <v>49</v>
      </c>
      <c r="C293" s="2" t="s">
        <v>61</v>
      </c>
      <c r="D293" s="4" t="n">
        <v>45136</v>
      </c>
    </row>
    <row r="294" customFormat="false" ht="15" hidden="false" customHeight="false" outlineLevel="0" collapsed="false">
      <c r="A294" s="6" t="n">
        <v>45897</v>
      </c>
      <c r="B294" s="2" t="s">
        <v>49</v>
      </c>
      <c r="C294" s="2" t="s">
        <v>58</v>
      </c>
      <c r="D294" s="4" t="n">
        <v>105838</v>
      </c>
    </row>
    <row r="295" customFormat="false" ht="15" hidden="false" customHeight="false" outlineLevel="0" collapsed="false">
      <c r="A295" s="6" t="n">
        <v>45897</v>
      </c>
      <c r="B295" s="2" t="s">
        <v>49</v>
      </c>
      <c r="C295" s="2" t="s">
        <v>59</v>
      </c>
      <c r="D295" s="4" t="n">
        <v>78091</v>
      </c>
    </row>
    <row r="296" customFormat="false" ht="15" hidden="false" customHeight="false" outlineLevel="0" collapsed="false">
      <c r="A296" s="6" t="n">
        <v>45897</v>
      </c>
      <c r="B296" s="2" t="s">
        <v>49</v>
      </c>
      <c r="C296" s="2" t="s">
        <v>60</v>
      </c>
      <c r="D296" s="4" t="n">
        <v>51309</v>
      </c>
    </row>
    <row r="297" customFormat="false" ht="15" hidden="false" customHeight="false" outlineLevel="0" collapsed="false">
      <c r="A297" s="6" t="n">
        <v>45897</v>
      </c>
      <c r="B297" s="2" t="s">
        <v>49</v>
      </c>
      <c r="C297" s="2" t="s">
        <v>61</v>
      </c>
      <c r="D297" s="4" t="n">
        <v>27973</v>
      </c>
    </row>
    <row r="298" customFormat="false" ht="15" hidden="false" customHeight="false" outlineLevel="0" collapsed="false">
      <c r="A298" s="6" t="n">
        <v>45928</v>
      </c>
      <c r="B298" s="2" t="s">
        <v>49</v>
      </c>
      <c r="C298" s="2" t="s">
        <v>58</v>
      </c>
      <c r="D298" s="4" t="n">
        <v>126043</v>
      </c>
    </row>
    <row r="299" customFormat="false" ht="15" hidden="false" customHeight="false" outlineLevel="0" collapsed="false">
      <c r="A299" s="6" t="n">
        <v>45928</v>
      </c>
      <c r="B299" s="2" t="s">
        <v>49</v>
      </c>
      <c r="C299" s="2" t="s">
        <v>59</v>
      </c>
      <c r="D299" s="4" t="n">
        <v>75335</v>
      </c>
    </row>
    <row r="300" customFormat="false" ht="15" hidden="false" customHeight="false" outlineLevel="0" collapsed="false">
      <c r="A300" s="6" t="n">
        <v>45928</v>
      </c>
      <c r="B300" s="2" t="s">
        <v>49</v>
      </c>
      <c r="C300" s="2" t="s">
        <v>60</v>
      </c>
      <c r="D300" s="4" t="n">
        <v>63897</v>
      </c>
    </row>
    <row r="301" customFormat="false" ht="15" hidden="false" customHeight="false" outlineLevel="0" collapsed="false">
      <c r="A301" s="6" t="n">
        <v>45928</v>
      </c>
      <c r="B301" s="2" t="s">
        <v>49</v>
      </c>
      <c r="C301" s="2" t="s">
        <v>61</v>
      </c>
      <c r="D301" s="4" t="n">
        <v>26464</v>
      </c>
    </row>
    <row r="302" customFormat="false" ht="15" hidden="false" customHeight="false" outlineLevel="0" collapsed="false">
      <c r="A302" s="6" t="n">
        <v>45958</v>
      </c>
      <c r="B302" s="2" t="s">
        <v>49</v>
      </c>
      <c r="C302" s="2" t="s">
        <v>58</v>
      </c>
      <c r="D302" s="4" t="n">
        <v>103622</v>
      </c>
    </row>
    <row r="303" customFormat="false" ht="15" hidden="false" customHeight="false" outlineLevel="0" collapsed="false">
      <c r="A303" s="6" t="n">
        <v>45958</v>
      </c>
      <c r="B303" s="2" t="s">
        <v>49</v>
      </c>
      <c r="C303" s="2" t="s">
        <v>59</v>
      </c>
      <c r="D303" s="4" t="n">
        <v>69242</v>
      </c>
    </row>
    <row r="304" customFormat="false" ht="15" hidden="false" customHeight="false" outlineLevel="0" collapsed="false">
      <c r="A304" s="6" t="n">
        <v>45958</v>
      </c>
      <c r="B304" s="2" t="s">
        <v>49</v>
      </c>
      <c r="C304" s="2" t="s">
        <v>60</v>
      </c>
      <c r="D304" s="4" t="n">
        <v>59423</v>
      </c>
    </row>
    <row r="305" customFormat="false" ht="15" hidden="false" customHeight="false" outlineLevel="0" collapsed="false">
      <c r="A305" s="6" t="n">
        <v>45958</v>
      </c>
      <c r="B305" s="2" t="s">
        <v>49</v>
      </c>
      <c r="C305" s="2" t="s">
        <v>61</v>
      </c>
      <c r="D305" s="4" t="n">
        <v>24316</v>
      </c>
    </row>
    <row r="306" customFormat="false" ht="15" hidden="false" customHeight="false" outlineLevel="0" collapsed="false">
      <c r="A306" s="6" t="n">
        <v>45989</v>
      </c>
      <c r="B306" s="2" t="s">
        <v>49</v>
      </c>
      <c r="C306" s="2" t="s">
        <v>58</v>
      </c>
      <c r="D306" s="4" t="n">
        <v>118297</v>
      </c>
    </row>
    <row r="307" customFormat="false" ht="15" hidden="false" customHeight="false" outlineLevel="0" collapsed="false">
      <c r="A307" s="6" t="n">
        <v>45989</v>
      </c>
      <c r="B307" s="2" t="s">
        <v>49</v>
      </c>
      <c r="C307" s="2" t="s">
        <v>59</v>
      </c>
      <c r="D307" s="4" t="n">
        <v>103818</v>
      </c>
    </row>
    <row r="308" customFormat="false" ht="15" hidden="false" customHeight="false" outlineLevel="0" collapsed="false">
      <c r="A308" s="6" t="n">
        <v>45989</v>
      </c>
      <c r="B308" s="2" t="s">
        <v>49</v>
      </c>
      <c r="C308" s="2" t="s">
        <v>60</v>
      </c>
      <c r="D308" s="4" t="n">
        <v>65874</v>
      </c>
    </row>
    <row r="309" customFormat="false" ht="15" hidden="false" customHeight="false" outlineLevel="0" collapsed="false">
      <c r="A309" s="6" t="n">
        <v>45989</v>
      </c>
      <c r="B309" s="2" t="s">
        <v>49</v>
      </c>
      <c r="C309" s="2" t="s">
        <v>61</v>
      </c>
      <c r="D309" s="4" t="n">
        <v>28977</v>
      </c>
    </row>
    <row r="310" customFormat="false" ht="15" hidden="false" customHeight="false" outlineLevel="0" collapsed="false">
      <c r="A310" s="6" t="n">
        <v>46019</v>
      </c>
      <c r="B310" s="2" t="s">
        <v>49</v>
      </c>
      <c r="C310" s="2" t="s">
        <v>58</v>
      </c>
      <c r="D310" s="4" t="n">
        <v>117868</v>
      </c>
    </row>
    <row r="311" customFormat="false" ht="15" hidden="false" customHeight="false" outlineLevel="0" collapsed="false">
      <c r="A311" s="6" t="n">
        <v>46019</v>
      </c>
      <c r="B311" s="2" t="s">
        <v>49</v>
      </c>
      <c r="C311" s="2" t="s">
        <v>59</v>
      </c>
      <c r="D311" s="4" t="n">
        <v>68239</v>
      </c>
    </row>
    <row r="312" customFormat="false" ht="15" hidden="false" customHeight="false" outlineLevel="0" collapsed="false">
      <c r="A312" s="6" t="n">
        <v>46019</v>
      </c>
      <c r="B312" s="2" t="s">
        <v>49</v>
      </c>
      <c r="C312" s="2" t="s">
        <v>60</v>
      </c>
      <c r="D312" s="4" t="n">
        <v>55381</v>
      </c>
    </row>
    <row r="313" customFormat="false" ht="15" hidden="false" customHeight="false" outlineLevel="0" collapsed="false">
      <c r="A313" s="6" t="n">
        <v>46019</v>
      </c>
      <c r="B313" s="2" t="s">
        <v>49</v>
      </c>
      <c r="C313" s="2" t="s">
        <v>61</v>
      </c>
      <c r="D313" s="4" t="n">
        <v>25887</v>
      </c>
    </row>
    <row r="314" customFormat="false" ht="15" hidden="false" customHeight="false" outlineLevel="0" collapsed="false">
      <c r="A314" s="6" t="n">
        <v>46050</v>
      </c>
      <c r="B314" s="2" t="s">
        <v>49</v>
      </c>
      <c r="C314" s="2" t="s">
        <v>58</v>
      </c>
      <c r="D314" s="4" t="n">
        <v>173985</v>
      </c>
    </row>
    <row r="315" customFormat="false" ht="15" hidden="false" customHeight="false" outlineLevel="0" collapsed="false">
      <c r="A315" s="6" t="n">
        <v>46050</v>
      </c>
      <c r="B315" s="2" t="s">
        <v>49</v>
      </c>
      <c r="C315" s="2" t="s">
        <v>59</v>
      </c>
      <c r="D315" s="4" t="n">
        <v>124672</v>
      </c>
    </row>
    <row r="316" customFormat="false" ht="15" hidden="false" customHeight="false" outlineLevel="0" collapsed="false">
      <c r="A316" s="6" t="n">
        <v>46050</v>
      </c>
      <c r="B316" s="2" t="s">
        <v>49</v>
      </c>
      <c r="C316" s="2" t="s">
        <v>60</v>
      </c>
      <c r="D316" s="4" t="n">
        <v>90669</v>
      </c>
    </row>
    <row r="317" customFormat="false" ht="15" hidden="false" customHeight="false" outlineLevel="0" collapsed="false">
      <c r="A317" s="6" t="n">
        <v>46050</v>
      </c>
      <c r="B317" s="2" t="s">
        <v>49</v>
      </c>
      <c r="C317" s="2" t="s">
        <v>61</v>
      </c>
      <c r="D317" s="4" t="n">
        <v>36585</v>
      </c>
    </row>
    <row r="318" customFormat="false" ht="15" hidden="false" customHeight="false" outlineLevel="0" collapsed="false">
      <c r="A318" s="6" t="n">
        <v>46081</v>
      </c>
      <c r="B318" s="2" t="s">
        <v>49</v>
      </c>
      <c r="C318" s="2" t="s">
        <v>58</v>
      </c>
      <c r="D318" s="4" t="n">
        <v>153828</v>
      </c>
    </row>
    <row r="319" customFormat="false" ht="15" hidden="false" customHeight="false" outlineLevel="0" collapsed="false">
      <c r="A319" s="6" t="n">
        <v>46081</v>
      </c>
      <c r="B319" s="2" t="s">
        <v>49</v>
      </c>
      <c r="C319" s="2" t="s">
        <v>59</v>
      </c>
      <c r="D319" s="4" t="n">
        <v>125490</v>
      </c>
    </row>
    <row r="320" customFormat="false" ht="15" hidden="false" customHeight="false" outlineLevel="0" collapsed="false">
      <c r="A320" s="6" t="n">
        <v>46081</v>
      </c>
      <c r="B320" s="2" t="s">
        <v>49</v>
      </c>
      <c r="C320" s="2" t="s">
        <v>60</v>
      </c>
      <c r="D320" s="4" t="n">
        <v>81007</v>
      </c>
    </row>
    <row r="321" customFormat="false" ht="15" hidden="false" customHeight="false" outlineLevel="0" collapsed="false">
      <c r="A321" s="6" t="n">
        <v>46081</v>
      </c>
      <c r="B321" s="2" t="s">
        <v>49</v>
      </c>
      <c r="C321" s="2" t="s">
        <v>61</v>
      </c>
      <c r="D321" s="4" t="n">
        <v>41210</v>
      </c>
    </row>
    <row r="322" customFormat="false" ht="15" hidden="false" customHeight="false" outlineLevel="0" collapsed="false">
      <c r="A322" s="6" t="n">
        <v>46109</v>
      </c>
      <c r="B322" s="2" t="s">
        <v>49</v>
      </c>
      <c r="C322" s="2" t="s">
        <v>58</v>
      </c>
      <c r="D322" s="4" t="n">
        <v>70995</v>
      </c>
    </row>
    <row r="323" customFormat="false" ht="15" hidden="false" customHeight="false" outlineLevel="0" collapsed="false">
      <c r="A323" s="6" t="n">
        <v>46109</v>
      </c>
      <c r="B323" s="2" t="s">
        <v>49</v>
      </c>
      <c r="C323" s="2" t="s">
        <v>59</v>
      </c>
      <c r="D323" s="4" t="n">
        <v>59507</v>
      </c>
    </row>
    <row r="324" customFormat="false" ht="15" hidden="false" customHeight="false" outlineLevel="0" collapsed="false">
      <c r="A324" s="6" t="n">
        <v>46109</v>
      </c>
      <c r="B324" s="2" t="s">
        <v>49</v>
      </c>
      <c r="C324" s="2" t="s">
        <v>60</v>
      </c>
      <c r="D324" s="4" t="n">
        <v>34826</v>
      </c>
    </row>
    <row r="325" customFormat="false" ht="15" hidden="false" customHeight="false" outlineLevel="0" collapsed="false">
      <c r="A325" s="6" t="n">
        <v>46109</v>
      </c>
      <c r="B325" s="2" t="s">
        <v>49</v>
      </c>
      <c r="C325" s="2" t="s">
        <v>61</v>
      </c>
      <c r="D325" s="4" t="n">
        <v>17303</v>
      </c>
    </row>
    <row r="326" customFormat="false" ht="15" hidden="false" customHeight="false" outlineLevel="0" collapsed="false">
      <c r="A326" s="6" t="n">
        <v>46140</v>
      </c>
      <c r="B326" s="2" t="s">
        <v>49</v>
      </c>
      <c r="C326" s="2" t="s">
        <v>58</v>
      </c>
      <c r="D326" s="4" t="n">
        <v>159832</v>
      </c>
    </row>
    <row r="327" customFormat="false" ht="15" hidden="false" customHeight="false" outlineLevel="0" collapsed="false">
      <c r="A327" s="6" t="n">
        <v>46140</v>
      </c>
      <c r="B327" s="2" t="s">
        <v>49</v>
      </c>
      <c r="C327" s="2" t="s">
        <v>59</v>
      </c>
      <c r="D327" s="4" t="n">
        <v>136774</v>
      </c>
    </row>
    <row r="328" customFormat="false" ht="15" hidden="false" customHeight="false" outlineLevel="0" collapsed="false">
      <c r="A328" s="6" t="n">
        <v>46140</v>
      </c>
      <c r="B328" s="2" t="s">
        <v>49</v>
      </c>
      <c r="C328" s="2" t="s">
        <v>60</v>
      </c>
      <c r="D328" s="4" t="n">
        <v>97308</v>
      </c>
    </row>
    <row r="329" customFormat="false" ht="15" hidden="false" customHeight="false" outlineLevel="0" collapsed="false">
      <c r="A329" s="6" t="n">
        <v>46140</v>
      </c>
      <c r="B329" s="2" t="s">
        <v>49</v>
      </c>
      <c r="C329" s="2" t="s">
        <v>61</v>
      </c>
      <c r="D329" s="4" t="n">
        <v>40846</v>
      </c>
    </row>
    <row r="330" customFormat="false" ht="15" hidden="false" customHeight="false" outlineLevel="0" collapsed="false">
      <c r="A330" s="6" t="n">
        <v>46170</v>
      </c>
      <c r="B330" s="2" t="s">
        <v>49</v>
      </c>
      <c r="C330" s="2" t="s">
        <v>58</v>
      </c>
      <c r="D330" s="4" t="n">
        <v>149708</v>
      </c>
    </row>
    <row r="331" customFormat="false" ht="15" hidden="false" customHeight="false" outlineLevel="0" collapsed="false">
      <c r="A331" s="6" t="n">
        <v>46170</v>
      </c>
      <c r="B331" s="2" t="s">
        <v>49</v>
      </c>
      <c r="C331" s="2" t="s">
        <v>59</v>
      </c>
      <c r="D331" s="4" t="n">
        <v>120235</v>
      </c>
    </row>
    <row r="332" customFormat="false" ht="15" hidden="false" customHeight="false" outlineLevel="0" collapsed="false">
      <c r="A332" s="6" t="n">
        <v>46170</v>
      </c>
      <c r="B332" s="2" t="s">
        <v>49</v>
      </c>
      <c r="C332" s="2" t="s">
        <v>60</v>
      </c>
      <c r="D332" s="4" t="n">
        <v>70647</v>
      </c>
    </row>
    <row r="333" customFormat="false" ht="15" hidden="false" customHeight="false" outlineLevel="0" collapsed="false">
      <c r="A333" s="6" t="n">
        <v>46170</v>
      </c>
      <c r="B333" s="2" t="s">
        <v>49</v>
      </c>
      <c r="C333" s="2" t="s">
        <v>61</v>
      </c>
      <c r="D333" s="4" t="n">
        <v>32782</v>
      </c>
    </row>
    <row r="334" customFormat="false" ht="15" hidden="false" customHeight="false" outlineLevel="0" collapsed="false">
      <c r="A334" s="6" t="n">
        <v>46201</v>
      </c>
      <c r="B334" s="2" t="s">
        <v>49</v>
      </c>
      <c r="C334" s="2" t="s">
        <v>58</v>
      </c>
      <c r="D334" s="4" t="n">
        <v>149052</v>
      </c>
    </row>
    <row r="335" customFormat="false" ht="15" hidden="false" customHeight="false" outlineLevel="0" collapsed="false">
      <c r="A335" s="6" t="n">
        <v>46201</v>
      </c>
      <c r="B335" s="2" t="s">
        <v>49</v>
      </c>
      <c r="C335" s="2" t="s">
        <v>59</v>
      </c>
      <c r="D335" s="4" t="n">
        <v>113021</v>
      </c>
    </row>
    <row r="336" customFormat="false" ht="15" hidden="false" customHeight="false" outlineLevel="0" collapsed="false">
      <c r="A336" s="6" t="n">
        <v>46201</v>
      </c>
      <c r="B336" s="2" t="s">
        <v>49</v>
      </c>
      <c r="C336" s="2" t="s">
        <v>60</v>
      </c>
      <c r="D336" s="4" t="n">
        <v>74165</v>
      </c>
    </row>
    <row r="337" customFormat="false" ht="15" hidden="false" customHeight="false" outlineLevel="0" collapsed="false">
      <c r="A337" s="6" t="n">
        <v>46201</v>
      </c>
      <c r="B337" s="2" t="s">
        <v>49</v>
      </c>
      <c r="C337" s="2" t="s">
        <v>61</v>
      </c>
      <c r="D337" s="4" t="n">
        <v>35048</v>
      </c>
    </row>
    <row r="338" customFormat="false" ht="15" hidden="false" customHeight="false" outlineLevel="0" collapsed="false">
      <c r="A338" s="6" t="n">
        <v>45866</v>
      </c>
      <c r="B338" s="2" t="s">
        <v>52</v>
      </c>
      <c r="C338" s="2" t="s">
        <v>58</v>
      </c>
      <c r="D338" s="4" t="n">
        <v>171343</v>
      </c>
    </row>
    <row r="339" customFormat="false" ht="15" hidden="false" customHeight="false" outlineLevel="0" collapsed="false">
      <c r="A339" s="6" t="n">
        <v>45866</v>
      </c>
      <c r="B339" s="2" t="s">
        <v>52</v>
      </c>
      <c r="C339" s="2" t="s">
        <v>59</v>
      </c>
      <c r="D339" s="4" t="n">
        <v>141873</v>
      </c>
    </row>
    <row r="340" customFormat="false" ht="15" hidden="false" customHeight="false" outlineLevel="0" collapsed="false">
      <c r="A340" s="6" t="n">
        <v>45866</v>
      </c>
      <c r="B340" s="2" t="s">
        <v>52</v>
      </c>
      <c r="C340" s="2" t="s">
        <v>60</v>
      </c>
      <c r="D340" s="4" t="n">
        <v>83679</v>
      </c>
    </row>
    <row r="341" customFormat="false" ht="15" hidden="false" customHeight="false" outlineLevel="0" collapsed="false">
      <c r="A341" s="6" t="n">
        <v>45866</v>
      </c>
      <c r="B341" s="2" t="s">
        <v>52</v>
      </c>
      <c r="C341" s="2" t="s">
        <v>61</v>
      </c>
      <c r="D341" s="4" t="n">
        <v>37614</v>
      </c>
    </row>
    <row r="342" customFormat="false" ht="15" hidden="false" customHeight="false" outlineLevel="0" collapsed="false">
      <c r="A342" s="6" t="n">
        <v>45897</v>
      </c>
      <c r="B342" s="2" t="s">
        <v>52</v>
      </c>
      <c r="C342" s="2" t="s">
        <v>58</v>
      </c>
      <c r="D342" s="4" t="n">
        <v>175450</v>
      </c>
    </row>
    <row r="343" customFormat="false" ht="15" hidden="false" customHeight="false" outlineLevel="0" collapsed="false">
      <c r="A343" s="6" t="n">
        <v>45897</v>
      </c>
      <c r="B343" s="2" t="s">
        <v>52</v>
      </c>
      <c r="C343" s="2" t="s">
        <v>59</v>
      </c>
      <c r="D343" s="4" t="n">
        <v>149837</v>
      </c>
    </row>
    <row r="344" customFormat="false" ht="15" hidden="false" customHeight="false" outlineLevel="0" collapsed="false">
      <c r="A344" s="6" t="n">
        <v>45897</v>
      </c>
      <c r="B344" s="2" t="s">
        <v>52</v>
      </c>
      <c r="C344" s="2" t="s">
        <v>60</v>
      </c>
      <c r="D344" s="4" t="n">
        <v>92273</v>
      </c>
    </row>
    <row r="345" customFormat="false" ht="15" hidden="false" customHeight="false" outlineLevel="0" collapsed="false">
      <c r="A345" s="6" t="n">
        <v>45897</v>
      </c>
      <c r="B345" s="2" t="s">
        <v>52</v>
      </c>
      <c r="C345" s="2" t="s">
        <v>61</v>
      </c>
      <c r="D345" s="4" t="n">
        <v>56285</v>
      </c>
    </row>
    <row r="346" customFormat="false" ht="15" hidden="false" customHeight="false" outlineLevel="0" collapsed="false">
      <c r="A346" s="6" t="n">
        <v>45928</v>
      </c>
      <c r="B346" s="2" t="s">
        <v>52</v>
      </c>
      <c r="C346" s="2" t="s">
        <v>58</v>
      </c>
      <c r="D346" s="4" t="n">
        <v>110694</v>
      </c>
    </row>
    <row r="347" customFormat="false" ht="15" hidden="false" customHeight="false" outlineLevel="0" collapsed="false">
      <c r="A347" s="6" t="n">
        <v>45928</v>
      </c>
      <c r="B347" s="2" t="s">
        <v>52</v>
      </c>
      <c r="C347" s="2" t="s">
        <v>59</v>
      </c>
      <c r="D347" s="4" t="n">
        <v>79372</v>
      </c>
    </row>
    <row r="348" customFormat="false" ht="15" hidden="false" customHeight="false" outlineLevel="0" collapsed="false">
      <c r="A348" s="6" t="n">
        <v>45928</v>
      </c>
      <c r="B348" s="2" t="s">
        <v>52</v>
      </c>
      <c r="C348" s="2" t="s">
        <v>60</v>
      </c>
      <c r="D348" s="4" t="n">
        <v>55752</v>
      </c>
    </row>
    <row r="349" customFormat="false" ht="15" hidden="false" customHeight="false" outlineLevel="0" collapsed="false">
      <c r="A349" s="6" t="n">
        <v>45928</v>
      </c>
      <c r="B349" s="2" t="s">
        <v>52</v>
      </c>
      <c r="C349" s="2" t="s">
        <v>61</v>
      </c>
      <c r="D349" s="4" t="n">
        <v>23530</v>
      </c>
    </row>
    <row r="350" customFormat="false" ht="15" hidden="false" customHeight="false" outlineLevel="0" collapsed="false">
      <c r="A350" s="6" t="n">
        <v>45958</v>
      </c>
      <c r="B350" s="2" t="s">
        <v>52</v>
      </c>
      <c r="C350" s="2" t="s">
        <v>58</v>
      </c>
      <c r="D350" s="4" t="n">
        <v>220245</v>
      </c>
    </row>
    <row r="351" customFormat="false" ht="15" hidden="false" customHeight="false" outlineLevel="0" collapsed="false">
      <c r="A351" s="6" t="n">
        <v>45958</v>
      </c>
      <c r="B351" s="2" t="s">
        <v>52</v>
      </c>
      <c r="C351" s="2" t="s">
        <v>59</v>
      </c>
      <c r="D351" s="4" t="n">
        <v>186232</v>
      </c>
    </row>
    <row r="352" customFormat="false" ht="15" hidden="false" customHeight="false" outlineLevel="0" collapsed="false">
      <c r="A352" s="6" t="n">
        <v>45958</v>
      </c>
      <c r="B352" s="2" t="s">
        <v>52</v>
      </c>
      <c r="C352" s="2" t="s">
        <v>60</v>
      </c>
      <c r="D352" s="4" t="n">
        <v>128520</v>
      </c>
    </row>
    <row r="353" customFormat="false" ht="15" hidden="false" customHeight="false" outlineLevel="0" collapsed="false">
      <c r="A353" s="6" t="n">
        <v>45958</v>
      </c>
      <c r="B353" s="2" t="s">
        <v>52</v>
      </c>
      <c r="C353" s="2" t="s">
        <v>61</v>
      </c>
      <c r="D353" s="4" t="n">
        <v>52753</v>
      </c>
    </row>
    <row r="354" customFormat="false" ht="15" hidden="false" customHeight="false" outlineLevel="0" collapsed="false">
      <c r="A354" s="6" t="n">
        <v>45989</v>
      </c>
      <c r="B354" s="2" t="s">
        <v>52</v>
      </c>
      <c r="C354" s="2" t="s">
        <v>58</v>
      </c>
      <c r="D354" s="4" t="n">
        <v>173951</v>
      </c>
    </row>
    <row r="355" customFormat="false" ht="15" hidden="false" customHeight="false" outlineLevel="0" collapsed="false">
      <c r="A355" s="6" t="n">
        <v>45989</v>
      </c>
      <c r="B355" s="2" t="s">
        <v>52</v>
      </c>
      <c r="C355" s="2" t="s">
        <v>59</v>
      </c>
      <c r="D355" s="4" t="n">
        <v>138039</v>
      </c>
    </row>
    <row r="356" customFormat="false" ht="15" hidden="false" customHeight="false" outlineLevel="0" collapsed="false">
      <c r="A356" s="6" t="n">
        <v>45989</v>
      </c>
      <c r="B356" s="2" t="s">
        <v>52</v>
      </c>
      <c r="C356" s="2" t="s">
        <v>60</v>
      </c>
      <c r="D356" s="4" t="n">
        <v>74020</v>
      </c>
    </row>
    <row r="357" customFormat="false" ht="15" hidden="false" customHeight="false" outlineLevel="0" collapsed="false">
      <c r="A357" s="6" t="n">
        <v>45989</v>
      </c>
      <c r="B357" s="2" t="s">
        <v>52</v>
      </c>
      <c r="C357" s="2" t="s">
        <v>61</v>
      </c>
      <c r="D357" s="4" t="n">
        <v>37049</v>
      </c>
    </row>
    <row r="358" customFormat="false" ht="15" hidden="false" customHeight="false" outlineLevel="0" collapsed="false">
      <c r="A358" s="6" t="n">
        <v>46019</v>
      </c>
      <c r="B358" s="2" t="s">
        <v>52</v>
      </c>
      <c r="C358" s="2" t="s">
        <v>58</v>
      </c>
      <c r="D358" s="4" t="n">
        <v>202796</v>
      </c>
    </row>
    <row r="359" customFormat="false" ht="15" hidden="false" customHeight="false" outlineLevel="0" collapsed="false">
      <c r="A359" s="6" t="n">
        <v>46019</v>
      </c>
      <c r="B359" s="2" t="s">
        <v>52</v>
      </c>
      <c r="C359" s="2" t="s">
        <v>59</v>
      </c>
      <c r="D359" s="4" t="n">
        <v>147102</v>
      </c>
    </row>
    <row r="360" customFormat="false" ht="15" hidden="false" customHeight="false" outlineLevel="0" collapsed="false">
      <c r="A360" s="6" t="n">
        <v>46019</v>
      </c>
      <c r="B360" s="2" t="s">
        <v>52</v>
      </c>
      <c r="C360" s="2" t="s">
        <v>60</v>
      </c>
      <c r="D360" s="4" t="n">
        <v>95627</v>
      </c>
    </row>
    <row r="361" customFormat="false" ht="15" hidden="false" customHeight="false" outlineLevel="0" collapsed="false">
      <c r="A361" s="6" t="n">
        <v>46019</v>
      </c>
      <c r="B361" s="2" t="s">
        <v>52</v>
      </c>
      <c r="C361" s="2" t="s">
        <v>61</v>
      </c>
      <c r="D361" s="4" t="n">
        <v>55364</v>
      </c>
    </row>
    <row r="362" customFormat="false" ht="15" hidden="false" customHeight="false" outlineLevel="0" collapsed="false">
      <c r="A362" s="6" t="n">
        <v>46050</v>
      </c>
      <c r="B362" s="2" t="s">
        <v>52</v>
      </c>
      <c r="C362" s="2" t="s">
        <v>58</v>
      </c>
      <c r="D362" s="4" t="n">
        <v>161717</v>
      </c>
    </row>
    <row r="363" customFormat="false" ht="15" hidden="false" customHeight="false" outlineLevel="0" collapsed="false">
      <c r="A363" s="6" t="n">
        <v>46050</v>
      </c>
      <c r="B363" s="2" t="s">
        <v>52</v>
      </c>
      <c r="C363" s="2" t="s">
        <v>59</v>
      </c>
      <c r="D363" s="4" t="n">
        <v>140105</v>
      </c>
    </row>
    <row r="364" customFormat="false" ht="15" hidden="false" customHeight="false" outlineLevel="0" collapsed="false">
      <c r="A364" s="6" t="n">
        <v>46050</v>
      </c>
      <c r="B364" s="2" t="s">
        <v>52</v>
      </c>
      <c r="C364" s="2" t="s">
        <v>60</v>
      </c>
      <c r="D364" s="4" t="n">
        <v>93298</v>
      </c>
    </row>
    <row r="365" customFormat="false" ht="15" hidden="false" customHeight="false" outlineLevel="0" collapsed="false">
      <c r="A365" s="6" t="n">
        <v>46050</v>
      </c>
      <c r="B365" s="2" t="s">
        <v>52</v>
      </c>
      <c r="C365" s="2" t="s">
        <v>61</v>
      </c>
      <c r="D365" s="4" t="n">
        <v>43365</v>
      </c>
    </row>
    <row r="366" customFormat="false" ht="15" hidden="false" customHeight="false" outlineLevel="0" collapsed="false">
      <c r="A366" s="6" t="n">
        <v>46081</v>
      </c>
      <c r="B366" s="2" t="s">
        <v>52</v>
      </c>
      <c r="C366" s="2" t="s">
        <v>58</v>
      </c>
      <c r="D366" s="4" t="n">
        <v>172453</v>
      </c>
    </row>
    <row r="367" customFormat="false" ht="15" hidden="false" customHeight="false" outlineLevel="0" collapsed="false">
      <c r="A367" s="6" t="n">
        <v>46081</v>
      </c>
      <c r="B367" s="2" t="s">
        <v>52</v>
      </c>
      <c r="C367" s="2" t="s">
        <v>59</v>
      </c>
      <c r="D367" s="4" t="n">
        <v>123526</v>
      </c>
    </row>
    <row r="368" customFormat="false" ht="15" hidden="false" customHeight="false" outlineLevel="0" collapsed="false">
      <c r="A368" s="6" t="n">
        <v>46081</v>
      </c>
      <c r="B368" s="2" t="s">
        <v>52</v>
      </c>
      <c r="C368" s="2" t="s">
        <v>60</v>
      </c>
      <c r="D368" s="4" t="n">
        <v>83211</v>
      </c>
    </row>
    <row r="369" customFormat="false" ht="15" hidden="false" customHeight="false" outlineLevel="0" collapsed="false">
      <c r="A369" s="6" t="n">
        <v>46081</v>
      </c>
      <c r="B369" s="2" t="s">
        <v>52</v>
      </c>
      <c r="C369" s="2" t="s">
        <v>61</v>
      </c>
      <c r="D369" s="4" t="n">
        <v>44850</v>
      </c>
    </row>
    <row r="370" customFormat="false" ht="15" hidden="false" customHeight="false" outlineLevel="0" collapsed="false">
      <c r="A370" s="6" t="n">
        <v>46109</v>
      </c>
      <c r="B370" s="2" t="s">
        <v>52</v>
      </c>
      <c r="C370" s="2" t="s">
        <v>58</v>
      </c>
      <c r="D370" s="4" t="n">
        <v>160830</v>
      </c>
    </row>
    <row r="371" customFormat="false" ht="15" hidden="false" customHeight="false" outlineLevel="0" collapsed="false">
      <c r="A371" s="6" t="n">
        <v>46109</v>
      </c>
      <c r="B371" s="2" t="s">
        <v>52</v>
      </c>
      <c r="C371" s="2" t="s">
        <v>59</v>
      </c>
      <c r="D371" s="4" t="n">
        <v>129659</v>
      </c>
    </row>
    <row r="372" customFormat="false" ht="15" hidden="false" customHeight="false" outlineLevel="0" collapsed="false">
      <c r="A372" s="6" t="n">
        <v>46109</v>
      </c>
      <c r="B372" s="2" t="s">
        <v>52</v>
      </c>
      <c r="C372" s="2" t="s">
        <v>60</v>
      </c>
      <c r="D372" s="4" t="n">
        <v>84550</v>
      </c>
    </row>
    <row r="373" customFormat="false" ht="15" hidden="false" customHeight="false" outlineLevel="0" collapsed="false">
      <c r="A373" s="6" t="n">
        <v>46109</v>
      </c>
      <c r="B373" s="2" t="s">
        <v>52</v>
      </c>
      <c r="C373" s="2" t="s">
        <v>61</v>
      </c>
      <c r="D373" s="4" t="n">
        <v>33552</v>
      </c>
    </row>
    <row r="374" customFormat="false" ht="15" hidden="false" customHeight="false" outlineLevel="0" collapsed="false">
      <c r="A374" s="6" t="n">
        <v>46140</v>
      </c>
      <c r="B374" s="2" t="s">
        <v>52</v>
      </c>
      <c r="C374" s="2" t="s">
        <v>58</v>
      </c>
      <c r="D374" s="4" t="n">
        <v>120440</v>
      </c>
    </row>
    <row r="375" customFormat="false" ht="15" hidden="false" customHeight="false" outlineLevel="0" collapsed="false">
      <c r="A375" s="6" t="n">
        <v>46140</v>
      </c>
      <c r="B375" s="2" t="s">
        <v>52</v>
      </c>
      <c r="C375" s="2" t="s">
        <v>59</v>
      </c>
      <c r="D375" s="4" t="n">
        <v>85797</v>
      </c>
    </row>
    <row r="376" customFormat="false" ht="15" hidden="false" customHeight="false" outlineLevel="0" collapsed="false">
      <c r="A376" s="6" t="n">
        <v>46140</v>
      </c>
      <c r="B376" s="2" t="s">
        <v>52</v>
      </c>
      <c r="C376" s="2" t="s">
        <v>60</v>
      </c>
      <c r="D376" s="4" t="n">
        <v>52481</v>
      </c>
    </row>
    <row r="377" customFormat="false" ht="15" hidden="false" customHeight="false" outlineLevel="0" collapsed="false">
      <c r="A377" s="6" t="n">
        <v>46140</v>
      </c>
      <c r="B377" s="2" t="s">
        <v>52</v>
      </c>
      <c r="C377" s="2" t="s">
        <v>61</v>
      </c>
      <c r="D377" s="4" t="n">
        <v>24860</v>
      </c>
    </row>
    <row r="378" customFormat="false" ht="15" hidden="false" customHeight="false" outlineLevel="0" collapsed="false">
      <c r="A378" s="6" t="n">
        <v>46170</v>
      </c>
      <c r="B378" s="2" t="s">
        <v>52</v>
      </c>
      <c r="C378" s="2" t="s">
        <v>58</v>
      </c>
      <c r="D378" s="4" t="n">
        <v>102283</v>
      </c>
    </row>
    <row r="379" customFormat="false" ht="15" hidden="false" customHeight="false" outlineLevel="0" collapsed="false">
      <c r="A379" s="6" t="n">
        <v>46170</v>
      </c>
      <c r="B379" s="2" t="s">
        <v>52</v>
      </c>
      <c r="C379" s="2" t="s">
        <v>59</v>
      </c>
      <c r="D379" s="4" t="n">
        <v>67729</v>
      </c>
    </row>
    <row r="380" customFormat="false" ht="15" hidden="false" customHeight="false" outlineLevel="0" collapsed="false">
      <c r="A380" s="6" t="n">
        <v>46170</v>
      </c>
      <c r="B380" s="2" t="s">
        <v>52</v>
      </c>
      <c r="C380" s="2" t="s">
        <v>60</v>
      </c>
      <c r="D380" s="4" t="n">
        <v>45062</v>
      </c>
    </row>
    <row r="381" customFormat="false" ht="15" hidden="false" customHeight="false" outlineLevel="0" collapsed="false">
      <c r="A381" s="6" t="n">
        <v>46170</v>
      </c>
      <c r="B381" s="2" t="s">
        <v>52</v>
      </c>
      <c r="C381" s="2" t="s">
        <v>61</v>
      </c>
      <c r="D381" s="4" t="n">
        <v>19732</v>
      </c>
    </row>
    <row r="382" customFormat="false" ht="15" hidden="false" customHeight="false" outlineLevel="0" collapsed="false">
      <c r="A382" s="6" t="n">
        <v>46201</v>
      </c>
      <c r="B382" s="2" t="s">
        <v>52</v>
      </c>
      <c r="C382" s="2" t="s">
        <v>58</v>
      </c>
      <c r="D382" s="4" t="n">
        <v>231173</v>
      </c>
    </row>
    <row r="383" customFormat="false" ht="15" hidden="false" customHeight="false" outlineLevel="0" collapsed="false">
      <c r="A383" s="6" t="n">
        <v>46201</v>
      </c>
      <c r="B383" s="2" t="s">
        <v>52</v>
      </c>
      <c r="C383" s="2" t="s">
        <v>59</v>
      </c>
      <c r="D383" s="4" t="n">
        <v>167555</v>
      </c>
    </row>
    <row r="384" customFormat="false" ht="15" hidden="false" customHeight="false" outlineLevel="0" collapsed="false">
      <c r="A384" s="6" t="n">
        <v>46201</v>
      </c>
      <c r="B384" s="2" t="s">
        <v>52</v>
      </c>
      <c r="C384" s="2" t="s">
        <v>60</v>
      </c>
      <c r="D384" s="4" t="n">
        <v>109156</v>
      </c>
    </row>
    <row r="385" customFormat="false" ht="15" hidden="false" customHeight="false" outlineLevel="0" collapsed="false">
      <c r="A385" s="6" t="n">
        <v>46201</v>
      </c>
      <c r="B385" s="2" t="s">
        <v>52</v>
      </c>
      <c r="C385" s="2" t="s">
        <v>61</v>
      </c>
      <c r="D385" s="4" t="n">
        <v>51763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55</v>
      </c>
      <c r="B1" s="3" t="s">
        <v>16</v>
      </c>
      <c r="C1" s="3" t="s">
        <v>62</v>
      </c>
    </row>
    <row r="2" customFormat="false" ht="15" hidden="false" customHeight="false" outlineLevel="0" collapsed="false">
      <c r="A2" s="6" t="n">
        <v>45866</v>
      </c>
      <c r="B2" s="2" t="s">
        <v>25</v>
      </c>
      <c r="C2" s="4" t="n">
        <v>1885600</v>
      </c>
    </row>
    <row r="3" customFormat="false" ht="15" hidden="false" customHeight="false" outlineLevel="0" collapsed="false">
      <c r="A3" s="6" t="n">
        <v>45897</v>
      </c>
      <c r="B3" s="2" t="s">
        <v>25</v>
      </c>
      <c r="C3" s="4" t="n">
        <v>2861100</v>
      </c>
    </row>
    <row r="4" customFormat="false" ht="15" hidden="false" customHeight="false" outlineLevel="0" collapsed="false">
      <c r="A4" s="6" t="n">
        <v>45928</v>
      </c>
      <c r="B4" s="2" t="s">
        <v>25</v>
      </c>
      <c r="C4" s="4" t="n">
        <v>2596400</v>
      </c>
    </row>
    <row r="5" customFormat="false" ht="15" hidden="false" customHeight="false" outlineLevel="0" collapsed="false">
      <c r="A5" s="6" t="n">
        <v>45958</v>
      </c>
      <c r="B5" s="2" t="s">
        <v>25</v>
      </c>
      <c r="C5" s="4" t="n">
        <v>4457700</v>
      </c>
    </row>
    <row r="6" customFormat="false" ht="15" hidden="false" customHeight="false" outlineLevel="0" collapsed="false">
      <c r="A6" s="6" t="n">
        <v>46050</v>
      </c>
      <c r="B6" s="2" t="s">
        <v>25</v>
      </c>
      <c r="C6" s="4" t="n">
        <v>1892700</v>
      </c>
    </row>
    <row r="7" customFormat="false" ht="15" hidden="false" customHeight="false" outlineLevel="0" collapsed="false">
      <c r="A7" s="6" t="n">
        <v>46081</v>
      </c>
      <c r="B7" s="2" t="s">
        <v>25</v>
      </c>
      <c r="C7" s="4" t="n">
        <v>2908300</v>
      </c>
    </row>
    <row r="8" customFormat="false" ht="15" hidden="false" customHeight="false" outlineLevel="0" collapsed="false">
      <c r="A8" s="6" t="n">
        <v>46109</v>
      </c>
      <c r="B8" s="2" t="s">
        <v>25</v>
      </c>
      <c r="C8" s="4" t="n">
        <v>1914800</v>
      </c>
    </row>
    <row r="9" customFormat="false" ht="15" hidden="false" customHeight="false" outlineLevel="0" collapsed="false">
      <c r="A9" s="6" t="n">
        <v>46140</v>
      </c>
      <c r="B9" s="2" t="s">
        <v>25</v>
      </c>
      <c r="C9" s="4" t="n">
        <v>2290200</v>
      </c>
    </row>
    <row r="10" customFormat="false" ht="15" hidden="false" customHeight="false" outlineLevel="0" collapsed="false">
      <c r="A10" s="6" t="n">
        <v>46170</v>
      </c>
      <c r="B10" s="2" t="s">
        <v>25</v>
      </c>
      <c r="C10" s="4" t="n">
        <v>3682400</v>
      </c>
    </row>
    <row r="11" customFormat="false" ht="15" hidden="false" customHeight="false" outlineLevel="0" collapsed="false">
      <c r="A11" s="6" t="n">
        <v>46201</v>
      </c>
      <c r="B11" s="2" t="s">
        <v>25</v>
      </c>
      <c r="C11" s="4" t="n">
        <v>1811000</v>
      </c>
    </row>
    <row r="12" customFormat="false" ht="15" hidden="false" customHeight="false" outlineLevel="0" collapsed="false">
      <c r="A12" s="6" t="n">
        <v>45866</v>
      </c>
      <c r="B12" s="2" t="s">
        <v>30</v>
      </c>
      <c r="C12" s="4" t="n">
        <v>1419200</v>
      </c>
    </row>
    <row r="13" customFormat="false" ht="15" hidden="false" customHeight="false" outlineLevel="0" collapsed="false">
      <c r="A13" s="6" t="n">
        <v>45897</v>
      </c>
      <c r="B13" s="2" t="s">
        <v>30</v>
      </c>
      <c r="C13" s="4" t="n">
        <v>2013000</v>
      </c>
    </row>
    <row r="14" customFormat="false" ht="15" hidden="false" customHeight="false" outlineLevel="0" collapsed="false">
      <c r="A14" s="6" t="n">
        <v>45928</v>
      </c>
      <c r="B14" s="2" t="s">
        <v>30</v>
      </c>
      <c r="C14" s="4" t="n">
        <v>2727500</v>
      </c>
    </row>
    <row r="15" customFormat="false" ht="15" hidden="false" customHeight="false" outlineLevel="0" collapsed="false">
      <c r="A15" s="6" t="n">
        <v>45958</v>
      </c>
      <c r="B15" s="2" t="s">
        <v>30</v>
      </c>
      <c r="C15" s="4" t="n">
        <v>2452200</v>
      </c>
    </row>
    <row r="16" customFormat="false" ht="15" hidden="false" customHeight="false" outlineLevel="0" collapsed="false">
      <c r="A16" s="6" t="n">
        <v>45989</v>
      </c>
      <c r="B16" s="2" t="s">
        <v>30</v>
      </c>
      <c r="C16" s="4" t="n">
        <v>1165600</v>
      </c>
    </row>
    <row r="17" customFormat="false" ht="15" hidden="false" customHeight="false" outlineLevel="0" collapsed="false">
      <c r="A17" s="6" t="n">
        <v>46019</v>
      </c>
      <c r="B17" s="2" t="s">
        <v>30</v>
      </c>
      <c r="C17" s="4" t="n">
        <v>3102500</v>
      </c>
    </row>
    <row r="18" customFormat="false" ht="15" hidden="false" customHeight="false" outlineLevel="0" collapsed="false">
      <c r="A18" s="6" t="n">
        <v>46050</v>
      </c>
      <c r="B18" s="2" t="s">
        <v>30</v>
      </c>
      <c r="C18" s="4" t="n">
        <v>2652400</v>
      </c>
    </row>
    <row r="19" customFormat="false" ht="15" hidden="false" customHeight="false" outlineLevel="0" collapsed="false">
      <c r="A19" s="6" t="n">
        <v>46109</v>
      </c>
      <c r="B19" s="2" t="s">
        <v>30</v>
      </c>
      <c r="C19" s="4" t="n">
        <v>1570400</v>
      </c>
    </row>
    <row r="20" customFormat="false" ht="15" hidden="false" customHeight="false" outlineLevel="0" collapsed="false">
      <c r="A20" s="6" t="n">
        <v>46140</v>
      </c>
      <c r="B20" s="2" t="s">
        <v>30</v>
      </c>
      <c r="C20" s="4" t="n">
        <v>1622000</v>
      </c>
    </row>
    <row r="21" customFormat="false" ht="15" hidden="false" customHeight="false" outlineLevel="0" collapsed="false">
      <c r="A21" s="6" t="n">
        <v>46170</v>
      </c>
      <c r="B21" s="2" t="s">
        <v>30</v>
      </c>
      <c r="C21" s="4" t="n">
        <v>1342000</v>
      </c>
    </row>
    <row r="22" customFormat="false" ht="15" hidden="false" customHeight="false" outlineLevel="0" collapsed="false">
      <c r="A22" s="6" t="n">
        <v>46201</v>
      </c>
      <c r="B22" s="2" t="s">
        <v>30</v>
      </c>
      <c r="C22" s="4" t="n">
        <v>1106700</v>
      </c>
    </row>
    <row r="23" customFormat="false" ht="15" hidden="false" customHeight="false" outlineLevel="0" collapsed="false">
      <c r="A23" s="6" t="n">
        <v>45897</v>
      </c>
      <c r="B23" s="2" t="s">
        <v>34</v>
      </c>
      <c r="C23" s="4" t="n">
        <v>4405300</v>
      </c>
    </row>
    <row r="24" customFormat="false" ht="15" hidden="false" customHeight="false" outlineLevel="0" collapsed="false">
      <c r="A24" s="6" t="n">
        <v>45928</v>
      </c>
      <c r="B24" s="2" t="s">
        <v>34</v>
      </c>
      <c r="C24" s="4" t="n">
        <v>2088000</v>
      </c>
    </row>
    <row r="25" customFormat="false" ht="15" hidden="false" customHeight="false" outlineLevel="0" collapsed="false">
      <c r="A25" s="6" t="n">
        <v>45958</v>
      </c>
      <c r="B25" s="2" t="s">
        <v>34</v>
      </c>
      <c r="C25" s="4" t="n">
        <v>3155200</v>
      </c>
    </row>
    <row r="26" customFormat="false" ht="15" hidden="false" customHeight="false" outlineLevel="0" collapsed="false">
      <c r="A26" s="6" t="n">
        <v>45989</v>
      </c>
      <c r="B26" s="2" t="s">
        <v>34</v>
      </c>
      <c r="C26" s="4" t="n">
        <v>2711700</v>
      </c>
    </row>
    <row r="27" customFormat="false" ht="15" hidden="false" customHeight="false" outlineLevel="0" collapsed="false">
      <c r="A27" s="6" t="n">
        <v>46019</v>
      </c>
      <c r="B27" s="2" t="s">
        <v>34</v>
      </c>
      <c r="C27" s="4" t="n">
        <v>4636300</v>
      </c>
    </row>
    <row r="28" customFormat="false" ht="15" hidden="false" customHeight="false" outlineLevel="0" collapsed="false">
      <c r="A28" s="6" t="n">
        <v>46050</v>
      </c>
      <c r="B28" s="2" t="s">
        <v>34</v>
      </c>
      <c r="C28" s="4" t="n">
        <v>2464500</v>
      </c>
    </row>
    <row r="29" customFormat="false" ht="15" hidden="false" customHeight="false" outlineLevel="0" collapsed="false">
      <c r="A29" s="6" t="n">
        <v>46081</v>
      </c>
      <c r="B29" s="2" t="s">
        <v>34</v>
      </c>
      <c r="C29" s="4" t="n">
        <v>2247600</v>
      </c>
    </row>
    <row r="30" customFormat="false" ht="15" hidden="false" customHeight="false" outlineLevel="0" collapsed="false">
      <c r="A30" s="6" t="n">
        <v>46109</v>
      </c>
      <c r="B30" s="2" t="s">
        <v>34</v>
      </c>
      <c r="C30" s="4" t="n">
        <v>3147500</v>
      </c>
    </row>
    <row r="31" customFormat="false" ht="15" hidden="false" customHeight="false" outlineLevel="0" collapsed="false">
      <c r="A31" s="6" t="n">
        <v>46140</v>
      </c>
      <c r="B31" s="2" t="s">
        <v>34</v>
      </c>
      <c r="C31" s="4" t="n">
        <v>3079700</v>
      </c>
    </row>
    <row r="32" customFormat="false" ht="15" hidden="false" customHeight="false" outlineLevel="0" collapsed="false">
      <c r="A32" s="6" t="n">
        <v>46201</v>
      </c>
      <c r="B32" s="2" t="s">
        <v>34</v>
      </c>
      <c r="C32" s="4" t="n">
        <v>2322500</v>
      </c>
    </row>
    <row r="33" customFormat="false" ht="15" hidden="false" customHeight="false" outlineLevel="0" collapsed="false">
      <c r="A33" s="6" t="n">
        <v>45866</v>
      </c>
      <c r="B33" s="2" t="s">
        <v>38</v>
      </c>
      <c r="C33" s="4" t="n">
        <v>2111600</v>
      </c>
    </row>
    <row r="34" customFormat="false" ht="15" hidden="false" customHeight="false" outlineLevel="0" collapsed="false">
      <c r="A34" s="6" t="n">
        <v>45897</v>
      </c>
      <c r="B34" s="2" t="s">
        <v>38</v>
      </c>
      <c r="C34" s="4" t="n">
        <v>1688700</v>
      </c>
    </row>
    <row r="35" customFormat="false" ht="15" hidden="false" customHeight="false" outlineLevel="0" collapsed="false">
      <c r="A35" s="6" t="n">
        <v>45928</v>
      </c>
      <c r="B35" s="2" t="s">
        <v>38</v>
      </c>
      <c r="C35" s="4" t="n">
        <v>1522900</v>
      </c>
    </row>
    <row r="36" customFormat="false" ht="15" hidden="false" customHeight="false" outlineLevel="0" collapsed="false">
      <c r="A36" s="6" t="n">
        <v>45958</v>
      </c>
      <c r="B36" s="2" t="s">
        <v>38</v>
      </c>
      <c r="C36" s="4" t="n">
        <v>1506100</v>
      </c>
    </row>
    <row r="37" customFormat="false" ht="15" hidden="false" customHeight="false" outlineLevel="0" collapsed="false">
      <c r="A37" s="6" t="n">
        <v>45989</v>
      </c>
      <c r="B37" s="2" t="s">
        <v>38</v>
      </c>
      <c r="C37" s="4" t="n">
        <v>1629000</v>
      </c>
    </row>
    <row r="38" customFormat="false" ht="15" hidden="false" customHeight="false" outlineLevel="0" collapsed="false">
      <c r="A38" s="6" t="n">
        <v>46019</v>
      </c>
      <c r="B38" s="2" t="s">
        <v>38</v>
      </c>
      <c r="C38" s="4" t="n">
        <v>1975700</v>
      </c>
    </row>
    <row r="39" customFormat="false" ht="15" hidden="false" customHeight="false" outlineLevel="0" collapsed="false">
      <c r="A39" s="6" t="n">
        <v>46050</v>
      </c>
      <c r="B39" s="2" t="s">
        <v>38</v>
      </c>
      <c r="C39" s="4" t="n">
        <v>812800</v>
      </c>
    </row>
    <row r="40" customFormat="false" ht="15" hidden="false" customHeight="false" outlineLevel="0" collapsed="false">
      <c r="A40" s="6" t="n">
        <v>46081</v>
      </c>
      <c r="B40" s="2" t="s">
        <v>38</v>
      </c>
      <c r="C40" s="4" t="n">
        <v>2125400</v>
      </c>
    </row>
    <row r="41" customFormat="false" ht="15" hidden="false" customHeight="false" outlineLevel="0" collapsed="false">
      <c r="A41" s="6" t="n">
        <v>46109</v>
      </c>
      <c r="B41" s="2" t="s">
        <v>38</v>
      </c>
      <c r="C41" s="4" t="n">
        <v>1012700</v>
      </c>
    </row>
    <row r="42" customFormat="false" ht="15" hidden="false" customHeight="false" outlineLevel="0" collapsed="false">
      <c r="A42" s="6" t="n">
        <v>46140</v>
      </c>
      <c r="B42" s="2" t="s">
        <v>38</v>
      </c>
      <c r="C42" s="4" t="n">
        <v>2140900</v>
      </c>
    </row>
    <row r="43" customFormat="false" ht="15" hidden="false" customHeight="false" outlineLevel="0" collapsed="false">
      <c r="A43" s="6" t="n">
        <v>46170</v>
      </c>
      <c r="B43" s="2" t="s">
        <v>38</v>
      </c>
      <c r="C43" s="4" t="n">
        <v>1730300</v>
      </c>
    </row>
    <row r="44" customFormat="false" ht="15" hidden="false" customHeight="false" outlineLevel="0" collapsed="false">
      <c r="A44" s="6" t="n">
        <v>46201</v>
      </c>
      <c r="B44" s="2" t="s">
        <v>38</v>
      </c>
      <c r="C44" s="4" t="n">
        <v>965200</v>
      </c>
    </row>
    <row r="45" customFormat="false" ht="15" hidden="false" customHeight="false" outlineLevel="0" collapsed="false">
      <c r="A45" s="6" t="n">
        <v>45866</v>
      </c>
      <c r="B45" s="2" t="s">
        <v>42</v>
      </c>
      <c r="C45" s="4" t="n">
        <v>7252800</v>
      </c>
    </row>
    <row r="46" customFormat="false" ht="15" hidden="false" customHeight="false" outlineLevel="0" collapsed="false">
      <c r="A46" s="6" t="n">
        <v>45897</v>
      </c>
      <c r="B46" s="2" t="s">
        <v>42</v>
      </c>
      <c r="C46" s="4" t="n">
        <v>3689000</v>
      </c>
    </row>
    <row r="47" customFormat="false" ht="15" hidden="false" customHeight="false" outlineLevel="0" collapsed="false">
      <c r="A47" s="6" t="n">
        <v>45928</v>
      </c>
      <c r="B47" s="2" t="s">
        <v>42</v>
      </c>
      <c r="C47" s="4" t="n">
        <v>3005200</v>
      </c>
    </row>
    <row r="48" customFormat="false" ht="15" hidden="false" customHeight="false" outlineLevel="0" collapsed="false">
      <c r="A48" s="6" t="n">
        <v>45958</v>
      </c>
      <c r="B48" s="2" t="s">
        <v>42</v>
      </c>
      <c r="C48" s="4" t="n">
        <v>4787700</v>
      </c>
    </row>
    <row r="49" customFormat="false" ht="15" hidden="false" customHeight="false" outlineLevel="0" collapsed="false">
      <c r="A49" s="6" t="n">
        <v>45989</v>
      </c>
      <c r="B49" s="2" t="s">
        <v>42</v>
      </c>
      <c r="C49" s="4" t="n">
        <v>5445800</v>
      </c>
    </row>
    <row r="50" customFormat="false" ht="15" hidden="false" customHeight="false" outlineLevel="0" collapsed="false">
      <c r="A50" s="6" t="n">
        <v>46019</v>
      </c>
      <c r="B50" s="2" t="s">
        <v>42</v>
      </c>
      <c r="C50" s="4" t="n">
        <v>6402700</v>
      </c>
    </row>
    <row r="51" customFormat="false" ht="15" hidden="false" customHeight="false" outlineLevel="0" collapsed="false">
      <c r="A51" s="6" t="n">
        <v>46050</v>
      </c>
      <c r="B51" s="2" t="s">
        <v>42</v>
      </c>
      <c r="C51" s="4" t="n">
        <v>6278700</v>
      </c>
    </row>
    <row r="52" customFormat="false" ht="15" hidden="false" customHeight="false" outlineLevel="0" collapsed="false">
      <c r="A52" s="6" t="n">
        <v>46081</v>
      </c>
      <c r="B52" s="2" t="s">
        <v>42</v>
      </c>
      <c r="C52" s="4" t="n">
        <v>7280400</v>
      </c>
    </row>
    <row r="53" customFormat="false" ht="15" hidden="false" customHeight="false" outlineLevel="0" collapsed="false">
      <c r="A53" s="6" t="n">
        <v>46109</v>
      </c>
      <c r="B53" s="2" t="s">
        <v>42</v>
      </c>
      <c r="C53" s="4" t="n">
        <v>6895200</v>
      </c>
    </row>
    <row r="54" customFormat="false" ht="15" hidden="false" customHeight="false" outlineLevel="0" collapsed="false">
      <c r="A54" s="6" t="n">
        <v>46140</v>
      </c>
      <c r="B54" s="2" t="s">
        <v>42</v>
      </c>
      <c r="C54" s="4" t="n">
        <v>3648600</v>
      </c>
    </row>
    <row r="55" customFormat="false" ht="15" hidden="false" customHeight="false" outlineLevel="0" collapsed="false">
      <c r="A55" s="6" t="n">
        <v>46170</v>
      </c>
      <c r="B55" s="2" t="s">
        <v>42</v>
      </c>
      <c r="C55" s="4" t="n">
        <v>4876300</v>
      </c>
    </row>
    <row r="56" customFormat="false" ht="15" hidden="false" customHeight="false" outlineLevel="0" collapsed="false">
      <c r="A56" s="6" t="n">
        <v>46201</v>
      </c>
      <c r="B56" s="2" t="s">
        <v>42</v>
      </c>
      <c r="C56" s="4" t="n">
        <v>7388100</v>
      </c>
    </row>
    <row r="57" customFormat="false" ht="15" hidden="false" customHeight="false" outlineLevel="0" collapsed="false">
      <c r="A57" s="6" t="n">
        <v>45866</v>
      </c>
      <c r="B57" s="2" t="s">
        <v>45</v>
      </c>
      <c r="C57" s="4" t="n">
        <v>1515100</v>
      </c>
    </row>
    <row r="58" customFormat="false" ht="15" hidden="false" customHeight="false" outlineLevel="0" collapsed="false">
      <c r="A58" s="6" t="n">
        <v>45897</v>
      </c>
      <c r="B58" s="2" t="s">
        <v>45</v>
      </c>
      <c r="C58" s="4" t="n">
        <v>2654500</v>
      </c>
    </row>
    <row r="59" customFormat="false" ht="15" hidden="false" customHeight="false" outlineLevel="0" collapsed="false">
      <c r="A59" s="6" t="n">
        <v>45928</v>
      </c>
      <c r="B59" s="2" t="s">
        <v>45</v>
      </c>
      <c r="C59" s="4" t="n">
        <v>989600</v>
      </c>
    </row>
    <row r="60" customFormat="false" ht="15" hidden="false" customHeight="false" outlineLevel="0" collapsed="false">
      <c r="A60" s="6" t="n">
        <v>45958</v>
      </c>
      <c r="B60" s="2" t="s">
        <v>45</v>
      </c>
      <c r="C60" s="4" t="n">
        <v>1241300</v>
      </c>
    </row>
    <row r="61" customFormat="false" ht="15" hidden="false" customHeight="false" outlineLevel="0" collapsed="false">
      <c r="A61" s="6" t="n">
        <v>45989</v>
      </c>
      <c r="B61" s="2" t="s">
        <v>45</v>
      </c>
      <c r="C61" s="4" t="n">
        <v>1628200</v>
      </c>
    </row>
    <row r="62" customFormat="false" ht="15" hidden="false" customHeight="false" outlineLevel="0" collapsed="false">
      <c r="A62" s="6" t="n">
        <v>46019</v>
      </c>
      <c r="B62" s="2" t="s">
        <v>45</v>
      </c>
      <c r="C62" s="4" t="n">
        <v>1125400</v>
      </c>
    </row>
    <row r="63" customFormat="false" ht="15" hidden="false" customHeight="false" outlineLevel="0" collapsed="false">
      <c r="A63" s="6" t="n">
        <v>46050</v>
      </c>
      <c r="B63" s="2" t="s">
        <v>45</v>
      </c>
      <c r="C63" s="4" t="n">
        <v>1254900</v>
      </c>
    </row>
    <row r="64" customFormat="false" ht="15" hidden="false" customHeight="false" outlineLevel="0" collapsed="false">
      <c r="A64" s="6" t="n">
        <v>46081</v>
      </c>
      <c r="B64" s="2" t="s">
        <v>45</v>
      </c>
      <c r="C64" s="4" t="n">
        <v>1543500</v>
      </c>
    </row>
    <row r="65" customFormat="false" ht="15" hidden="false" customHeight="false" outlineLevel="0" collapsed="false">
      <c r="A65" s="6" t="n">
        <v>46109</v>
      </c>
      <c r="B65" s="2" t="s">
        <v>45</v>
      </c>
      <c r="C65" s="4" t="n">
        <v>1584300</v>
      </c>
    </row>
    <row r="66" customFormat="false" ht="15" hidden="false" customHeight="false" outlineLevel="0" collapsed="false">
      <c r="A66" s="6" t="n">
        <v>46140</v>
      </c>
      <c r="B66" s="2" t="s">
        <v>45</v>
      </c>
      <c r="C66" s="4" t="n">
        <v>1712700</v>
      </c>
    </row>
    <row r="67" customFormat="false" ht="15" hidden="false" customHeight="false" outlineLevel="0" collapsed="false">
      <c r="A67" s="6" t="n">
        <v>46170</v>
      </c>
      <c r="B67" s="2" t="s">
        <v>45</v>
      </c>
      <c r="C67" s="4" t="n">
        <v>1059800</v>
      </c>
    </row>
    <row r="68" customFormat="false" ht="15" hidden="false" customHeight="false" outlineLevel="0" collapsed="false">
      <c r="A68" s="6" t="n">
        <v>46201</v>
      </c>
      <c r="B68" s="2" t="s">
        <v>45</v>
      </c>
      <c r="C68" s="4" t="n">
        <v>2574300</v>
      </c>
    </row>
    <row r="69" customFormat="false" ht="15" hidden="false" customHeight="false" outlineLevel="0" collapsed="false">
      <c r="A69" s="6" t="n">
        <v>45866</v>
      </c>
      <c r="B69" s="2" t="s">
        <v>49</v>
      </c>
      <c r="C69" s="4" t="n">
        <v>477800</v>
      </c>
    </row>
    <row r="70" customFormat="false" ht="15" hidden="false" customHeight="false" outlineLevel="0" collapsed="false">
      <c r="A70" s="6" t="n">
        <v>45897</v>
      </c>
      <c r="B70" s="2" t="s">
        <v>49</v>
      </c>
      <c r="C70" s="4" t="n">
        <v>318200</v>
      </c>
    </row>
    <row r="71" customFormat="false" ht="15" hidden="false" customHeight="false" outlineLevel="0" collapsed="false">
      <c r="A71" s="6" t="n">
        <v>45928</v>
      </c>
      <c r="B71" s="2" t="s">
        <v>49</v>
      </c>
      <c r="C71" s="4" t="n">
        <v>332900</v>
      </c>
    </row>
    <row r="72" customFormat="false" ht="15" hidden="false" customHeight="false" outlineLevel="0" collapsed="false">
      <c r="A72" s="6" t="n">
        <v>45958</v>
      </c>
      <c r="B72" s="2" t="s">
        <v>49</v>
      </c>
      <c r="C72" s="4" t="n">
        <v>323700</v>
      </c>
    </row>
    <row r="73" customFormat="false" ht="15" hidden="false" customHeight="false" outlineLevel="0" collapsed="false">
      <c r="A73" s="6" t="n">
        <v>46019</v>
      </c>
      <c r="B73" s="2" t="s">
        <v>49</v>
      </c>
      <c r="C73" s="4" t="n">
        <v>306400</v>
      </c>
    </row>
    <row r="74" customFormat="false" ht="15" hidden="false" customHeight="false" outlineLevel="0" collapsed="false">
      <c r="A74" s="6" t="n">
        <v>46050</v>
      </c>
      <c r="B74" s="2" t="s">
        <v>49</v>
      </c>
      <c r="C74" s="4" t="n">
        <v>491700</v>
      </c>
    </row>
    <row r="75" customFormat="false" ht="15" hidden="false" customHeight="false" outlineLevel="0" collapsed="false">
      <c r="A75" s="6" t="n">
        <v>46081</v>
      </c>
      <c r="B75" s="2" t="s">
        <v>49</v>
      </c>
      <c r="C75" s="4" t="n">
        <v>486800</v>
      </c>
    </row>
    <row r="76" customFormat="false" ht="15" hidden="false" customHeight="false" outlineLevel="0" collapsed="false">
      <c r="A76" s="6" t="n">
        <v>46109</v>
      </c>
      <c r="B76" s="2" t="s">
        <v>49</v>
      </c>
      <c r="C76" s="4" t="n">
        <v>199400</v>
      </c>
    </row>
    <row r="77" customFormat="false" ht="15" hidden="false" customHeight="false" outlineLevel="0" collapsed="false">
      <c r="A77" s="6" t="n">
        <v>46140</v>
      </c>
      <c r="B77" s="2" t="s">
        <v>49</v>
      </c>
      <c r="C77" s="4" t="n">
        <v>511000</v>
      </c>
    </row>
    <row r="78" customFormat="false" ht="15" hidden="false" customHeight="false" outlineLevel="0" collapsed="false">
      <c r="A78" s="6" t="n">
        <v>46201</v>
      </c>
      <c r="B78" s="2" t="s">
        <v>49</v>
      </c>
      <c r="C78" s="4" t="n">
        <v>445200</v>
      </c>
    </row>
    <row r="79" customFormat="false" ht="15" hidden="false" customHeight="false" outlineLevel="0" collapsed="false">
      <c r="A79" s="6" t="n">
        <v>45866</v>
      </c>
      <c r="B79" s="2" t="s">
        <v>52</v>
      </c>
      <c r="C79" s="4" t="n">
        <v>431200</v>
      </c>
    </row>
    <row r="80" customFormat="false" ht="15" hidden="false" customHeight="false" outlineLevel="0" collapsed="false">
      <c r="A80" s="6" t="n">
        <v>45928</v>
      </c>
      <c r="B80" s="2" t="s">
        <v>52</v>
      </c>
      <c r="C80" s="4" t="n">
        <v>278700</v>
      </c>
    </row>
    <row r="81" customFormat="false" ht="15" hidden="false" customHeight="false" outlineLevel="0" collapsed="false">
      <c r="A81" s="6" t="n">
        <v>45958</v>
      </c>
      <c r="B81" s="2" t="s">
        <v>52</v>
      </c>
      <c r="C81" s="4" t="n">
        <v>628500</v>
      </c>
    </row>
    <row r="82" customFormat="false" ht="15" hidden="false" customHeight="false" outlineLevel="0" collapsed="false">
      <c r="A82" s="6" t="n">
        <v>45989</v>
      </c>
      <c r="B82" s="2" t="s">
        <v>52</v>
      </c>
      <c r="C82" s="4" t="n">
        <v>414800</v>
      </c>
    </row>
    <row r="83" customFormat="false" ht="15" hidden="false" customHeight="false" outlineLevel="0" collapsed="false">
      <c r="A83" s="6" t="n">
        <v>46019</v>
      </c>
      <c r="B83" s="2" t="s">
        <v>52</v>
      </c>
      <c r="C83" s="4" t="n">
        <v>591200</v>
      </c>
    </row>
    <row r="84" customFormat="false" ht="15" hidden="false" customHeight="false" outlineLevel="0" collapsed="false">
      <c r="A84" s="6" t="n">
        <v>46050</v>
      </c>
      <c r="B84" s="2" t="s">
        <v>52</v>
      </c>
      <c r="C84" s="4" t="n">
        <v>523700</v>
      </c>
    </row>
    <row r="85" customFormat="false" ht="15" hidden="false" customHeight="false" outlineLevel="0" collapsed="false">
      <c r="A85" s="6" t="n">
        <v>46081</v>
      </c>
      <c r="B85" s="2" t="s">
        <v>52</v>
      </c>
      <c r="C85" s="4" t="n">
        <v>439600</v>
      </c>
    </row>
    <row r="86" customFormat="false" ht="15" hidden="false" customHeight="false" outlineLevel="0" collapsed="false">
      <c r="A86" s="6" t="n">
        <v>46109</v>
      </c>
      <c r="B86" s="2" t="s">
        <v>52</v>
      </c>
      <c r="C86" s="4" t="n">
        <v>406400</v>
      </c>
    </row>
    <row r="87" customFormat="false" ht="15" hidden="false" customHeight="false" outlineLevel="0" collapsed="false">
      <c r="A87" s="6" t="n">
        <v>46140</v>
      </c>
      <c r="B87" s="2" t="s">
        <v>52</v>
      </c>
      <c r="C87" s="4" t="n">
        <v>319900</v>
      </c>
    </row>
    <row r="88" customFormat="false" ht="15" hidden="false" customHeight="false" outlineLevel="0" collapsed="false">
      <c r="A88" s="6" t="n">
        <v>46201</v>
      </c>
      <c r="B88" s="2" t="s">
        <v>52</v>
      </c>
      <c r="C88" s="4" t="n">
        <v>691200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16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57</v>
      </c>
    </row>
    <row r="2" customFormat="false" ht="15" hidden="false" customHeight="false" outlineLevel="0" collapsed="false">
      <c r="A2" s="2" t="s">
        <v>30</v>
      </c>
      <c r="B2" s="2" t="s">
        <v>67</v>
      </c>
      <c r="C2" s="6" t="n">
        <v>45989</v>
      </c>
      <c r="D2" s="2" t="s">
        <v>68</v>
      </c>
      <c r="E2" s="2" t="s">
        <v>69</v>
      </c>
      <c r="F2" s="4" t="n">
        <v>477000</v>
      </c>
    </row>
    <row r="3" customFormat="false" ht="15" hidden="false" customHeight="false" outlineLevel="0" collapsed="false">
      <c r="A3" s="2" t="s">
        <v>30</v>
      </c>
      <c r="B3" s="2" t="s">
        <v>70</v>
      </c>
      <c r="C3" s="6" t="n">
        <v>45958</v>
      </c>
      <c r="D3" s="2" t="s">
        <v>71</v>
      </c>
      <c r="E3" s="2" t="s">
        <v>69</v>
      </c>
      <c r="F3" s="4" t="n">
        <v>567000</v>
      </c>
    </row>
    <row r="4" customFormat="false" ht="15" hidden="false" customHeight="false" outlineLevel="0" collapsed="false">
      <c r="A4" s="2" t="s">
        <v>30</v>
      </c>
      <c r="B4" s="2" t="s">
        <v>72</v>
      </c>
      <c r="C4" s="6" t="n">
        <v>46109</v>
      </c>
      <c r="D4" s="2" t="s">
        <v>68</v>
      </c>
      <c r="E4" s="2" t="s">
        <v>73</v>
      </c>
      <c r="F4" s="4" t="n">
        <v>696000</v>
      </c>
    </row>
    <row r="5" customFormat="false" ht="15" hidden="false" customHeight="false" outlineLevel="0" collapsed="false">
      <c r="A5" s="2" t="s">
        <v>30</v>
      </c>
      <c r="B5" s="2" t="s">
        <v>74</v>
      </c>
      <c r="C5" s="6" t="n">
        <v>46140</v>
      </c>
      <c r="D5" s="2" t="s">
        <v>68</v>
      </c>
      <c r="E5" s="2" t="s">
        <v>69</v>
      </c>
      <c r="F5" s="4" t="n">
        <v>155000</v>
      </c>
    </row>
    <row r="6" customFormat="false" ht="15" hidden="false" customHeight="false" outlineLevel="0" collapsed="false">
      <c r="A6" s="2" t="s">
        <v>38</v>
      </c>
      <c r="B6" s="2" t="s">
        <v>67</v>
      </c>
      <c r="C6" s="6" t="n">
        <v>46050</v>
      </c>
      <c r="D6" s="2" t="s">
        <v>68</v>
      </c>
      <c r="E6" s="2" t="s">
        <v>73</v>
      </c>
      <c r="F6" s="4" t="n">
        <v>697000</v>
      </c>
    </row>
    <row r="7" customFormat="false" ht="15" hidden="false" customHeight="false" outlineLevel="0" collapsed="false">
      <c r="A7" s="2" t="s">
        <v>42</v>
      </c>
      <c r="B7" s="2" t="s">
        <v>67</v>
      </c>
      <c r="C7" s="6" t="n">
        <v>45958</v>
      </c>
      <c r="D7" s="2" t="s">
        <v>75</v>
      </c>
      <c r="E7" s="2" t="s">
        <v>69</v>
      </c>
      <c r="F7" s="4" t="n">
        <v>1969000</v>
      </c>
    </row>
    <row r="8" customFormat="false" ht="15" hidden="false" customHeight="false" outlineLevel="0" collapsed="false">
      <c r="A8" s="2" t="s">
        <v>42</v>
      </c>
      <c r="B8" s="2" t="s">
        <v>70</v>
      </c>
      <c r="C8" s="6" t="n">
        <v>45928</v>
      </c>
      <c r="D8" s="2" t="s">
        <v>76</v>
      </c>
      <c r="E8" s="2" t="s">
        <v>69</v>
      </c>
      <c r="F8" s="4" t="n">
        <v>1268000</v>
      </c>
    </row>
    <row r="9" customFormat="false" ht="15" hidden="false" customHeight="false" outlineLevel="0" collapsed="false">
      <c r="A9" s="2" t="s">
        <v>42</v>
      </c>
      <c r="B9" s="2" t="s">
        <v>72</v>
      </c>
      <c r="C9" s="6" t="n">
        <v>46081</v>
      </c>
      <c r="D9" s="2" t="s">
        <v>77</v>
      </c>
      <c r="E9" s="2" t="s">
        <v>69</v>
      </c>
      <c r="F9" s="4" t="n">
        <v>3187000</v>
      </c>
    </row>
    <row r="10" customFormat="false" ht="15" hidden="false" customHeight="false" outlineLevel="0" collapsed="false">
      <c r="A10" s="2" t="s">
        <v>42</v>
      </c>
      <c r="B10" s="2" t="s">
        <v>74</v>
      </c>
      <c r="C10" s="6" t="n">
        <v>45958</v>
      </c>
      <c r="D10" s="2" t="s">
        <v>77</v>
      </c>
      <c r="E10" s="2" t="s">
        <v>73</v>
      </c>
      <c r="F10" s="4" t="n">
        <v>3232000</v>
      </c>
    </row>
    <row r="11" customFormat="false" ht="15" hidden="false" customHeight="false" outlineLevel="0" collapsed="false">
      <c r="A11" s="2" t="s">
        <v>45</v>
      </c>
      <c r="B11" s="2" t="s">
        <v>67</v>
      </c>
      <c r="C11" s="6" t="n">
        <v>46140</v>
      </c>
      <c r="D11" s="2" t="s">
        <v>77</v>
      </c>
      <c r="E11" s="2" t="s">
        <v>69</v>
      </c>
      <c r="F11" s="4" t="n">
        <v>441000</v>
      </c>
    </row>
    <row r="12" customFormat="false" ht="15" hidden="false" customHeight="false" outlineLevel="0" collapsed="false">
      <c r="A12" s="2" t="s">
        <v>45</v>
      </c>
      <c r="B12" s="2" t="s">
        <v>70</v>
      </c>
      <c r="C12" s="6" t="n">
        <v>46050</v>
      </c>
      <c r="D12" s="2" t="s">
        <v>68</v>
      </c>
      <c r="E12" s="2" t="s">
        <v>69</v>
      </c>
      <c r="F12" s="4" t="n">
        <v>290000</v>
      </c>
    </row>
    <row r="13" customFormat="false" ht="15" hidden="false" customHeight="false" outlineLevel="0" collapsed="false">
      <c r="A13" s="2" t="s">
        <v>45</v>
      </c>
      <c r="B13" s="2" t="s">
        <v>72</v>
      </c>
      <c r="C13" s="6" t="n">
        <v>46050</v>
      </c>
      <c r="D13" s="2" t="s">
        <v>77</v>
      </c>
      <c r="E13" s="2" t="s">
        <v>69</v>
      </c>
      <c r="F13" s="4" t="n">
        <v>473000</v>
      </c>
    </row>
    <row r="14" customFormat="false" ht="15" hidden="false" customHeight="false" outlineLevel="0" collapsed="false">
      <c r="A14" s="2" t="s">
        <v>45</v>
      </c>
      <c r="B14" s="2" t="s">
        <v>74</v>
      </c>
      <c r="C14" s="6" t="n">
        <v>46019</v>
      </c>
      <c r="D14" s="2" t="s">
        <v>75</v>
      </c>
      <c r="E14" s="2" t="s">
        <v>69</v>
      </c>
      <c r="F14" s="4" t="n">
        <v>142000</v>
      </c>
    </row>
    <row r="15" customFormat="false" ht="15" hidden="false" customHeight="false" outlineLevel="0" collapsed="false">
      <c r="A15" s="2" t="s">
        <v>49</v>
      </c>
      <c r="B15" s="2" t="s">
        <v>67</v>
      </c>
      <c r="C15" s="6" t="n">
        <v>46019</v>
      </c>
      <c r="D15" s="2" t="s">
        <v>76</v>
      </c>
      <c r="E15" s="2" t="s">
        <v>73</v>
      </c>
      <c r="F15" s="4" t="n">
        <v>255000</v>
      </c>
    </row>
    <row r="16" customFormat="false" ht="15" hidden="false" customHeight="false" outlineLevel="0" collapsed="false">
      <c r="A16" s="2" t="s">
        <v>49</v>
      </c>
      <c r="B16" s="2" t="s">
        <v>70</v>
      </c>
      <c r="C16" s="6" t="n">
        <v>46019</v>
      </c>
      <c r="D16" s="2" t="s">
        <v>76</v>
      </c>
      <c r="E16" s="2" t="s">
        <v>73</v>
      </c>
      <c r="F16" s="4" t="n">
        <v>356000</v>
      </c>
    </row>
    <row r="17" customFormat="false" ht="15" hidden="false" customHeight="false" outlineLevel="0" collapsed="false">
      <c r="A17" s="2" t="s">
        <v>49</v>
      </c>
      <c r="B17" s="2" t="s">
        <v>72</v>
      </c>
      <c r="C17" s="6" t="n">
        <v>45958</v>
      </c>
      <c r="D17" s="2" t="s">
        <v>68</v>
      </c>
      <c r="E17" s="2" t="s">
        <v>69</v>
      </c>
      <c r="F17" s="4" t="n">
        <v>411000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12" min="3" style="0" width="14"/>
  </cols>
  <sheetData>
    <row r="1" customFormat="false" ht="23.85" hidden="false" customHeight="false" outlineLevel="0" collapsed="false">
      <c r="A1" s="7" t="s">
        <v>16</v>
      </c>
      <c r="B1" s="7" t="s">
        <v>17</v>
      </c>
      <c r="C1" s="7" t="s">
        <v>23</v>
      </c>
      <c r="D1" s="7" t="s">
        <v>78</v>
      </c>
      <c r="E1" s="7" t="s">
        <v>79</v>
      </c>
      <c r="F1" s="7" t="s">
        <v>80</v>
      </c>
      <c r="G1" s="7" t="s">
        <v>81</v>
      </c>
      <c r="H1" s="7" t="s">
        <v>82</v>
      </c>
      <c r="I1" s="7" t="s">
        <v>83</v>
      </c>
      <c r="J1" s="7" t="s">
        <v>84</v>
      </c>
      <c r="K1" s="7" t="s">
        <v>85</v>
      </c>
      <c r="L1" s="7" t="s">
        <v>86</v>
      </c>
    </row>
    <row r="2" customFormat="false" ht="15" hidden="false" customHeight="false" outlineLevel="0" collapsed="false">
      <c r="A2" s="2" t="str">
        <f aca="false">Projects!A2</f>
        <v>P-101</v>
      </c>
      <c r="B2" s="2" t="str">
        <f aca="false">Projects!B2</f>
        <v>Riverbend Water Treatment Expansion</v>
      </c>
      <c r="C2" s="5" t="n">
        <f aca="false">Projects!H2</f>
        <v>48500000</v>
      </c>
      <c r="D2" s="5" t="n">
        <f aca="false">Projects!I2</f>
        <v>44620000</v>
      </c>
      <c r="E2" s="5" t="n">
        <f aca="false">SUMIFS(Job_Cost_Detail!D:D,Job_Cost_Detail!B:B,A2)</f>
        <v>32250636</v>
      </c>
      <c r="F2" s="8" t="n">
        <f aca="false">IF(D2=0,0,E2/D2)</f>
        <v>0.722784311967728</v>
      </c>
      <c r="G2" s="5" t="n">
        <f aca="false">F2*C2</f>
        <v>35055039.1304348</v>
      </c>
      <c r="H2" s="5" t="n">
        <f aca="false">SUMIFS(Billings!C:C,Billings!B:B,A2)</f>
        <v>26300200</v>
      </c>
      <c r="I2" s="5" t="n">
        <f aca="false">H2-G2</f>
        <v>-8754839.13043478</v>
      </c>
      <c r="J2" s="5" t="n">
        <f aca="false">C2-D2</f>
        <v>3880000</v>
      </c>
      <c r="K2" s="8" t="n">
        <f aca="false">IF(C2=0,0,J2/C2)</f>
        <v>0.08</v>
      </c>
      <c r="L2" s="5" t="n">
        <f aca="false">D2-E2</f>
        <v>12369364</v>
      </c>
    </row>
    <row r="3" customFormat="false" ht="15" hidden="false" customHeight="false" outlineLevel="0" collapsed="false">
      <c r="A3" s="2" t="str">
        <f aca="false">Projects!A3</f>
        <v>P-102</v>
      </c>
      <c r="B3" s="2" t="str">
        <f aca="false">Projects!B3</f>
        <v>Aurora Logistics Distribution Centre</v>
      </c>
      <c r="C3" s="5" t="n">
        <f aca="false">Projects!H3</f>
        <v>24599000</v>
      </c>
      <c r="D3" s="5" t="n">
        <f aca="false">Projects!I3</f>
        <v>22877000</v>
      </c>
      <c r="E3" s="5" t="n">
        <f aca="false">SUMIFS(Job_Cost_Detail!D:D,Job_Cost_Detail!B:B,A3)</f>
        <v>22441975</v>
      </c>
      <c r="F3" s="8" t="n">
        <f aca="false">IF(D3=0,0,E3/D3)</f>
        <v>0.980984176246886</v>
      </c>
      <c r="G3" s="5" t="n">
        <f aca="false">F3*C3</f>
        <v>24131229.7514971</v>
      </c>
      <c r="H3" s="5" t="n">
        <f aca="false">SUMIFS(Billings!C:C,Billings!B:B,A3)</f>
        <v>21173500</v>
      </c>
      <c r="I3" s="5" t="n">
        <f aca="false">H3-G3</f>
        <v>-2957729.75149713</v>
      </c>
      <c r="J3" s="5" t="n">
        <f aca="false">C3-D3</f>
        <v>1722000</v>
      </c>
      <c r="K3" s="8" t="n">
        <f aca="false">IF(C3=0,0,J3/C3)</f>
        <v>0.0700028456441319</v>
      </c>
      <c r="L3" s="5" t="n">
        <f aca="false">D3-E3</f>
        <v>435025</v>
      </c>
    </row>
    <row r="4" customFormat="false" ht="15" hidden="false" customHeight="false" outlineLevel="0" collapsed="false">
      <c r="A4" s="2" t="str">
        <f aca="false">Projects!A4</f>
        <v>P-103</v>
      </c>
      <c r="B4" s="2" t="str">
        <f aca="false">Projects!B4</f>
        <v>Kestrel Ridge Wind Farm BOP</v>
      </c>
      <c r="C4" s="5" t="n">
        <f aca="false">Projects!H4</f>
        <v>86000000</v>
      </c>
      <c r="D4" s="5" t="n">
        <f aca="false">Projects!I4</f>
        <v>80840000</v>
      </c>
      <c r="E4" s="5" t="n">
        <f aca="false">SUMIFS(Job_Cost_Detail!D:D,Job_Cost_Detail!B:B,A4)</f>
        <v>33561395</v>
      </c>
      <c r="F4" s="8" t="n">
        <f aca="false">IF(D4=0,0,E4/D4)</f>
        <v>0.415158275606136</v>
      </c>
      <c r="G4" s="5" t="n">
        <f aca="false">F4*C4</f>
        <v>35703611.7021277</v>
      </c>
      <c r="H4" s="5" t="n">
        <f aca="false">SUMIFS(Billings!C:C,Billings!B:B,A4)</f>
        <v>30258300</v>
      </c>
      <c r="I4" s="5" t="n">
        <f aca="false">H4-G4</f>
        <v>-5445311.70212766</v>
      </c>
      <c r="J4" s="5" t="n">
        <f aca="false">C4-D4</f>
        <v>5160000</v>
      </c>
      <c r="K4" s="8" t="n">
        <f aca="false">IF(C4=0,0,J4/C4)</f>
        <v>0.06</v>
      </c>
      <c r="L4" s="5" t="n">
        <f aca="false">D4-E4</f>
        <v>47278605</v>
      </c>
    </row>
    <row r="5" customFormat="false" ht="15" hidden="false" customHeight="false" outlineLevel="0" collapsed="false">
      <c r="A5" s="2" t="str">
        <f aca="false">Projects!A5</f>
        <v>P-104</v>
      </c>
      <c r="B5" s="2" t="str">
        <f aca="false">Projects!B5</f>
        <v>St. Bridget Hospital Renovation Ph2</v>
      </c>
      <c r="C5" s="5" t="n">
        <f aca="false">Projects!H5</f>
        <v>31750000</v>
      </c>
      <c r="D5" s="5" t="n">
        <f aca="false">Projects!I5</f>
        <v>28892000</v>
      </c>
      <c r="E5" s="5" t="n">
        <f aca="false">SUMIFS(Job_Cost_Detail!D:D,Job_Cost_Detail!B:B,A5)</f>
        <v>18010990</v>
      </c>
      <c r="F5" s="8" t="n">
        <f aca="false">IF(D5=0,0,E5/D5)</f>
        <v>0.623390211823342</v>
      </c>
      <c r="G5" s="5" t="n">
        <f aca="false">F5*C5</f>
        <v>19792639.2253911</v>
      </c>
      <c r="H5" s="5" t="n">
        <f aca="false">SUMIFS(Billings!C:C,Billings!B:B,A5)</f>
        <v>19221300</v>
      </c>
      <c r="I5" s="5" t="n">
        <f aca="false">H5-G5</f>
        <v>-571339.225391112</v>
      </c>
      <c r="J5" s="5" t="n">
        <f aca="false">C5-D5</f>
        <v>2858000</v>
      </c>
      <c r="K5" s="8" t="n">
        <f aca="false">IF(C5=0,0,J5/C5)</f>
        <v>0.0900157480314961</v>
      </c>
      <c r="L5" s="5" t="n">
        <f aca="false">D5-E5</f>
        <v>10881010</v>
      </c>
    </row>
    <row r="6" customFormat="false" ht="15" hidden="false" customHeight="false" outlineLevel="0" collapsed="false">
      <c r="A6" s="2" t="str">
        <f aca="false">Projects!A6</f>
        <v>P-105</v>
      </c>
      <c r="B6" s="2" t="str">
        <f aca="false">Projects!B6</f>
        <v>Coyote Flats Gas Processing Module</v>
      </c>
      <c r="C6" s="5" t="n">
        <f aca="false">Projects!H6</f>
        <v>118424000</v>
      </c>
      <c r="D6" s="5" t="n">
        <f aca="false">Projects!I6</f>
        <v>112503000</v>
      </c>
      <c r="E6" s="5" t="n">
        <f aca="false">SUMIFS(Job_Cost_Detail!D:D,Job_Cost_Detail!B:B,A6)</f>
        <v>62548395</v>
      </c>
      <c r="F6" s="8" t="n">
        <f aca="false">IF(D6=0,0,E6/D6)</f>
        <v>0.555970907442468</v>
      </c>
      <c r="G6" s="5" t="n">
        <f aca="false">F6*C6</f>
        <v>65840298.7429669</v>
      </c>
      <c r="H6" s="5" t="n">
        <f aca="false">SUMIFS(Billings!C:C,Billings!B:B,A6)</f>
        <v>66950500</v>
      </c>
      <c r="I6" s="5" t="n">
        <f aca="false">H6-G6</f>
        <v>1110201.25703314</v>
      </c>
      <c r="J6" s="5" t="n">
        <f aca="false">C6-D6</f>
        <v>5921000</v>
      </c>
      <c r="K6" s="8" t="n">
        <f aca="false">IF(C6=0,0,J6/C6)</f>
        <v>0.0499983111531446</v>
      </c>
      <c r="L6" s="5" t="n">
        <f aca="false">D6-E6</f>
        <v>49954605</v>
      </c>
    </row>
    <row r="7" customFormat="false" ht="15" hidden="false" customHeight="false" outlineLevel="0" collapsed="false">
      <c r="A7" s="2" t="str">
        <f aca="false">Projects!A7</f>
        <v>P-106</v>
      </c>
      <c r="B7" s="2" t="str">
        <f aca="false">Projects!B7</f>
        <v>Larkspur Transit Garage</v>
      </c>
      <c r="C7" s="5" t="n">
        <f aca="false">Projects!H7</f>
        <v>21146000</v>
      </c>
      <c r="D7" s="5" t="n">
        <f aca="false">Projects!I7</f>
        <v>20723000</v>
      </c>
      <c r="E7" s="5" t="n">
        <f aca="false">SUMIFS(Job_Cost_Detail!D:D,Job_Cost_Detail!B:B,A7)</f>
        <v>18336721</v>
      </c>
      <c r="F7" s="8" t="n">
        <f aca="false">IF(D7=0,0,E7/D7)</f>
        <v>0.884848767070405</v>
      </c>
      <c r="G7" s="5" t="n">
        <f aca="false">F7*C7</f>
        <v>18711012.0284708</v>
      </c>
      <c r="H7" s="5" t="n">
        <f aca="false">SUMIFS(Billings!C:C,Billings!B:B,A7)</f>
        <v>18883600</v>
      </c>
      <c r="I7" s="5" t="n">
        <f aca="false">H7-G7</f>
        <v>172587.971529219</v>
      </c>
      <c r="J7" s="5" t="n">
        <f aca="false">C7-D7</f>
        <v>423000</v>
      </c>
      <c r="K7" s="8" t="n">
        <f aca="false">IF(C7=0,0,J7/C7)</f>
        <v>0.020003783221413</v>
      </c>
      <c r="L7" s="5" t="n">
        <f aca="false">D7-E7</f>
        <v>2386279</v>
      </c>
    </row>
    <row r="8" customFormat="false" ht="15" hidden="false" customHeight="false" outlineLevel="0" collapsed="false">
      <c r="A8" s="2" t="str">
        <f aca="false">Projects!A8</f>
        <v>P-107</v>
      </c>
      <c r="B8" s="2" t="str">
        <f aca="false">Projects!B8</f>
        <v>Meridian Office Tower Fit-Out</v>
      </c>
      <c r="C8" s="5" t="n">
        <f aca="false">Projects!H8</f>
        <v>13011000</v>
      </c>
      <c r="D8" s="5" t="n">
        <f aca="false">Projects!I8</f>
        <v>11450000</v>
      </c>
      <c r="E8" s="5" t="n">
        <f aca="false">SUMIFS(Job_Cost_Detail!D:D,Job_Cost_Detail!B:B,A8)</f>
        <v>4000080</v>
      </c>
      <c r="F8" s="8" t="n">
        <f aca="false">IF(D8=0,0,E8/D8)</f>
        <v>0.349351965065502</v>
      </c>
      <c r="G8" s="5" t="n">
        <f aca="false">F8*C8</f>
        <v>4545418.41746725</v>
      </c>
      <c r="H8" s="5" t="n">
        <f aca="false">SUMIFS(Billings!C:C,Billings!B:B,A8)</f>
        <v>3893100</v>
      </c>
      <c r="I8" s="5" t="n">
        <f aca="false">H8-G8</f>
        <v>-652318.41746725</v>
      </c>
      <c r="J8" s="5" t="n">
        <f aca="false">C8-D8</f>
        <v>1561000</v>
      </c>
      <c r="K8" s="8" t="n">
        <f aca="false">IF(C8=0,0,J8/C8)</f>
        <v>0.119975405426178</v>
      </c>
      <c r="L8" s="5" t="n">
        <f aca="false">D8-E8</f>
        <v>7449920</v>
      </c>
    </row>
    <row r="9" customFormat="false" ht="15" hidden="false" customHeight="false" outlineLevel="0" collapsed="false">
      <c r="A9" s="2" t="str">
        <f aca="false">Projects!A9</f>
        <v>P-108</v>
      </c>
      <c r="B9" s="2" t="str">
        <f aca="false">Projects!B9</f>
        <v>Signal Hill Substation Upgrade</v>
      </c>
      <c r="C9" s="5" t="n">
        <f aca="false">Projects!H9</f>
        <v>27300000</v>
      </c>
      <c r="D9" s="5" t="n">
        <f aca="false">Projects!I9</f>
        <v>25116000</v>
      </c>
      <c r="E9" s="5" t="n">
        <f aca="false">SUMIFS(Job_Cost_Detail!D:D,Job_Cost_Detail!B:B,A9)</f>
        <v>5038547</v>
      </c>
      <c r="F9" s="8" t="n">
        <f aca="false">IF(D9=0,0,E9/D9)</f>
        <v>0.200611044752349</v>
      </c>
      <c r="G9" s="5" t="n">
        <f aca="false">F9*C9</f>
        <v>5476681.52173913</v>
      </c>
      <c r="H9" s="5" t="n">
        <f aca="false">SUMIFS(Billings!C:C,Billings!B:B,A9)</f>
        <v>4725200</v>
      </c>
      <c r="I9" s="5" t="n">
        <f aca="false">H9-G9</f>
        <v>-751481.52173913</v>
      </c>
      <c r="J9" s="5" t="n">
        <f aca="false">C9-D9</f>
        <v>2184000</v>
      </c>
      <c r="K9" s="8" t="n">
        <f aca="false">IF(C9=0,0,J9/C9)</f>
        <v>0.08</v>
      </c>
      <c r="L9" s="5" t="n">
        <f aca="false">D9-E9</f>
        <v>20077453</v>
      </c>
    </row>
    <row r="10" customFormat="false" ht="15" hidden="false" customHeight="false" outlineLevel="0" collapsed="false">
      <c r="B10" s="9" t="s">
        <v>87</v>
      </c>
      <c r="C10" s="10" t="n">
        <f aca="false">SUM(C2:C9)</f>
        <v>370730000</v>
      </c>
      <c r="D10" s="10" t="n">
        <f aca="false">SUM(D2:D9)</f>
        <v>347021000</v>
      </c>
      <c r="E10" s="10" t="n">
        <f aca="false">SUM(E2:E9)</f>
        <v>196188739</v>
      </c>
      <c r="F10" s="11" t="n">
        <f aca="false">IF(D10=0,0,E10/D10)</f>
        <v>0.565351200647799</v>
      </c>
      <c r="G10" s="10" t="n">
        <f aca="false">SUM(G2:G9)</f>
        <v>209255930.520095</v>
      </c>
      <c r="H10" s="10" t="n">
        <f aca="false">SUM(H2:H9)</f>
        <v>191405700</v>
      </c>
      <c r="I10" s="10" t="n">
        <f aca="false">SUM(I2:I9)</f>
        <v>-17850230.5200947</v>
      </c>
      <c r="J10" s="10" t="n">
        <f aca="false">SUM(J2:J9)</f>
        <v>23709000</v>
      </c>
      <c r="K10" s="11" t="n">
        <f aca="false">IF(C10=0,0,J10/C10)</f>
        <v>0.0639522024114585</v>
      </c>
      <c r="L10" s="10" t="n">
        <f aca="false">SUM(L2:L9)</f>
        <v>150832261</v>
      </c>
    </row>
    <row r="12" customFormat="false" ht="15" hidden="false" customHeight="false" outlineLevel="0" collapsed="false">
      <c r="B12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2026-07-10T22:20:48Z</dcterms:created>
  <dc:creator>openpyxl</dc:creator>
  <dc:description/>
  <dc:language>en-US</dc:language>
  <cp:lastModifiedBy/>
  <dcterms:modified xsi:type="dcterms:W3CDTF">2026-07-10T22:20:48Z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